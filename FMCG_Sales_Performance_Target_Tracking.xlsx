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tables/table1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2.xml" ContentType="application/vnd.openxmlformats-officedocument.spreadsheetml.table+xml"/>
  <Override PartName="/xl/drawings/drawing2.xml" ContentType="application/vnd.openxmlformats-officedocument.drawing+xml"/>
  <Override PartName="/xl/tables/table1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aqas\FMCG\"/>
    </mc:Choice>
  </mc:AlternateContent>
  <xr:revisionPtr revIDLastSave="0" documentId="13_ncr:1_{B199D184-42A5-49B7-BBE0-B7E3072E499E}" xr6:coauthVersionLast="47" xr6:coauthVersionMax="47" xr10:uidLastSave="{00000000-0000-0000-0000-000000000000}"/>
  <bookViews>
    <workbookView xWindow="-120" yWindow="-120" windowWidth="20730" windowHeight="11160" xr2:uid="{E5773D42-263D-4ABD-8D1B-B776A72CC400}"/>
  </bookViews>
  <sheets>
    <sheet name="01_README" sheetId="1" r:id="rId1"/>
    <sheet name="02_Control_Panel" sheetId="2" r:id="rId2"/>
    <sheet name="03_Cities" sheetId="3" r:id="rId3"/>
    <sheet name="04_Sales_Team" sheetId="4" r:id="rId4"/>
    <sheet name="05_Distributors" sheetId="5" r:id="rId5"/>
    <sheet name="06_Products" sheetId="6" r:id="rId6"/>
    <sheet name="07_Calendar" sheetId="7" r:id="rId7"/>
    <sheet name="08_Sales_Targets" sheetId="8" r:id="rId8"/>
    <sheet name="09_Sales_Transactions" sheetId="9" r:id="rId9"/>
    <sheet name="10_Inventory" sheetId="10" r:id="rId10"/>
    <sheet name="11_Collections" sheetId="11" r:id="rId11"/>
    <sheet name="12_Performance_Calculations" sheetId="12" r:id="rId12"/>
    <sheet name="13_Target_vs_Actual" sheetId="13" r:id="rId13"/>
    <sheet name="14_Distributor_Analysis" sheetId="14" r:id="rId14"/>
    <sheet name="15_Product_Analysis" sheetId="15" r:id="rId15"/>
    <sheet name="16_Sales_Forecast" sheetId="16" r:id="rId16"/>
    <sheet name="17_Management_Dashboard" sheetId="17" r:id="rId17"/>
    <sheet name="18_Model_Documentation" sheetId="18" r:id="rId18"/>
  </sheets>
  <definedNames>
    <definedName name="_xlnm._FilterDatabase" localSheetId="7" hidden="1">'08_Sales_Targets'!$A$1:$F$73</definedName>
    <definedName name="_xlnm._FilterDatabase" localSheetId="8" hidden="1">'09_Sales_Transactions'!$A$1:$J$13</definedName>
    <definedName name="_xlnm._FilterDatabase" localSheetId="12" hidden="1">'13_Target_vs_Actual'!$L$3:$Q$147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9" i="2" l="1"/>
  <c r="B18" i="2"/>
  <c r="B17" i="2"/>
  <c r="B16" i="2"/>
  <c r="B15" i="2"/>
  <c r="B14" i="2"/>
  <c r="B13" i="2"/>
  <c r="B12" i="2"/>
  <c r="B11" i="2"/>
  <c r="I148" i="13"/>
  <c r="H148" i="13"/>
  <c r="H146" i="12"/>
  <c r="I146" i="12"/>
  <c r="G146" i="12"/>
  <c r="F146" i="12"/>
  <c r="G21" i="16"/>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L4" i="14"/>
  <c r="L5" i="14"/>
  <c r="L6" i="14"/>
  <c r="L7" i="14"/>
  <c r="L8" i="14"/>
  <c r="L9" i="14"/>
  <c r="L10" i="14"/>
  <c r="L11" i="14"/>
  <c r="L12" i="14"/>
  <c r="L13" i="14"/>
  <c r="L14" i="14"/>
  <c r="L15" i="14"/>
  <c r="I4" i="14"/>
  <c r="I5" i="14"/>
  <c r="I6" i="14"/>
  <c r="I7" i="14"/>
  <c r="I8" i="14"/>
  <c r="I9" i="14"/>
  <c r="I10" i="14"/>
  <c r="I11" i="14"/>
  <c r="I12" i="14"/>
  <c r="I13" i="14"/>
  <c r="I14" i="14"/>
  <c r="I15" i="14"/>
  <c r="H4" i="14"/>
  <c r="H5" i="14"/>
  <c r="H6" i="14"/>
  <c r="H7" i="14"/>
  <c r="H8" i="14"/>
  <c r="H9" i="14"/>
  <c r="H10" i="14"/>
  <c r="H11" i="14"/>
  <c r="H12" i="14"/>
  <c r="H13" i="14"/>
  <c r="H14" i="14"/>
  <c r="H15" i="14"/>
  <c r="G147" i="13"/>
  <c r="G146" i="13"/>
  <c r="G145" i="13"/>
  <c r="G144" i="13"/>
  <c r="G143" i="13"/>
  <c r="G142" i="13"/>
  <c r="G141" i="13"/>
  <c r="G140" i="13"/>
  <c r="G139" i="13"/>
  <c r="G138" i="13"/>
  <c r="G137" i="13"/>
  <c r="G136" i="13"/>
  <c r="G135" i="13"/>
  <c r="G134" i="13"/>
  <c r="G133" i="13"/>
  <c r="G132" i="13"/>
  <c r="G131" i="13"/>
  <c r="G130" i="13"/>
  <c r="G129" i="13"/>
  <c r="G128" i="13"/>
  <c r="G127" i="13"/>
  <c r="G126" i="13"/>
  <c r="G125" i="13"/>
  <c r="G124" i="13"/>
  <c r="G123" i="13"/>
  <c r="G122" i="13"/>
  <c r="G121" i="13"/>
  <c r="G120" i="13"/>
  <c r="G119" i="13"/>
  <c r="G118" i="13"/>
  <c r="G117" i="13"/>
  <c r="G116" i="13"/>
  <c r="G115" i="13"/>
  <c r="G114" i="13"/>
  <c r="G113" i="13"/>
  <c r="G112" i="13"/>
  <c r="G111" i="13"/>
  <c r="G110" i="13"/>
  <c r="G109"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V41" i="13" s="1"/>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F147" i="13"/>
  <c r="F146" i="13"/>
  <c r="F145" i="13"/>
  <c r="F144" i="13"/>
  <c r="U144" i="13" s="1"/>
  <c r="F143" i="13"/>
  <c r="F142" i="13"/>
  <c r="F141" i="13"/>
  <c r="F140" i="13"/>
  <c r="F139" i="13"/>
  <c r="F138" i="13"/>
  <c r="F137" i="13"/>
  <c r="F136" i="13"/>
  <c r="U136" i="13" s="1"/>
  <c r="F135" i="13"/>
  <c r="F134" i="13"/>
  <c r="F133" i="13"/>
  <c r="F132" i="13"/>
  <c r="F131" i="13"/>
  <c r="F130" i="13"/>
  <c r="F129" i="13"/>
  <c r="F128" i="13"/>
  <c r="U128" i="13" s="1"/>
  <c r="F127" i="13"/>
  <c r="F126" i="13"/>
  <c r="F125" i="13"/>
  <c r="F124" i="13"/>
  <c r="F123" i="13"/>
  <c r="F122" i="13"/>
  <c r="F121" i="13"/>
  <c r="F120" i="13"/>
  <c r="U120" i="13" s="1"/>
  <c r="F119" i="13"/>
  <c r="F118" i="13"/>
  <c r="F117" i="13"/>
  <c r="F116" i="13"/>
  <c r="F115" i="13"/>
  <c r="F114" i="13"/>
  <c r="F113" i="13"/>
  <c r="F112" i="13"/>
  <c r="U112" i="13" s="1"/>
  <c r="F111" i="13"/>
  <c r="F110" i="13"/>
  <c r="F109" i="13"/>
  <c r="F108" i="13"/>
  <c r="F107" i="13"/>
  <c r="F106" i="13"/>
  <c r="F105" i="13"/>
  <c r="F104" i="13"/>
  <c r="F103" i="13"/>
  <c r="F102" i="13"/>
  <c r="F101" i="13"/>
  <c r="F100" i="13"/>
  <c r="F99" i="13"/>
  <c r="F98" i="13"/>
  <c r="F97" i="13"/>
  <c r="F96" i="13"/>
  <c r="F95" i="13"/>
  <c r="F94" i="13"/>
  <c r="F93" i="13"/>
  <c r="F92" i="13"/>
  <c r="F91" i="13"/>
  <c r="F90" i="13"/>
  <c r="F89" i="13"/>
  <c r="F88" i="13"/>
  <c r="U88" i="13" s="1"/>
  <c r="F87" i="13"/>
  <c r="F86" i="13"/>
  <c r="F85" i="13"/>
  <c r="F84" i="13"/>
  <c r="F83" i="13"/>
  <c r="F82" i="13"/>
  <c r="F81" i="13"/>
  <c r="F80" i="13"/>
  <c r="U80" i="13" s="1"/>
  <c r="F79" i="13"/>
  <c r="F78" i="13"/>
  <c r="F77" i="13"/>
  <c r="F76" i="13"/>
  <c r="F75" i="13"/>
  <c r="F74" i="13"/>
  <c r="F73" i="13"/>
  <c r="F72" i="13"/>
  <c r="F71" i="13"/>
  <c r="F70" i="13"/>
  <c r="F69" i="13"/>
  <c r="F68" i="13"/>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U40" i="13" s="1"/>
  <c r="F39" i="13"/>
  <c r="F38" i="13"/>
  <c r="F37" i="13"/>
  <c r="F36" i="13"/>
  <c r="F35" i="13"/>
  <c r="F34" i="13"/>
  <c r="F33" i="13"/>
  <c r="F32" i="13"/>
  <c r="F31" i="13"/>
  <c r="F30" i="13"/>
  <c r="F29" i="13"/>
  <c r="F28" i="13"/>
  <c r="F27" i="13"/>
  <c r="F26" i="13"/>
  <c r="F25" i="13"/>
  <c r="F24" i="13"/>
  <c r="F23" i="13"/>
  <c r="F22" i="13"/>
  <c r="F21" i="13"/>
  <c r="F20" i="13"/>
  <c r="F19" i="13"/>
  <c r="F18" i="13"/>
  <c r="F17" i="13"/>
  <c r="F16" i="13"/>
  <c r="F15" i="13"/>
  <c r="F14" i="13"/>
  <c r="F13" i="13"/>
  <c r="F12" i="13"/>
  <c r="F11" i="13"/>
  <c r="F10" i="13"/>
  <c r="F9" i="13"/>
  <c r="F8" i="13"/>
  <c r="U8" i="13" s="1"/>
  <c r="F7" i="13"/>
  <c r="F6" i="13"/>
  <c r="F5" i="13"/>
  <c r="F4" i="13"/>
  <c r="V146" i="13"/>
  <c r="V145" i="13"/>
  <c r="V138" i="13"/>
  <c r="S137" i="13"/>
  <c r="V134" i="13"/>
  <c r="V130" i="13"/>
  <c r="V122" i="13"/>
  <c r="S121" i="13"/>
  <c r="V118" i="13"/>
  <c r="V114" i="13"/>
  <c r="V113" i="13"/>
  <c r="V106" i="13"/>
  <c r="S105" i="13"/>
  <c r="V102" i="13"/>
  <c r="V98" i="13"/>
  <c r="V97" i="13"/>
  <c r="V94" i="13"/>
  <c r="V90" i="13"/>
  <c r="S89" i="13"/>
  <c r="V86" i="13"/>
  <c r="V82" i="13"/>
  <c r="V74" i="13"/>
  <c r="S73" i="13"/>
  <c r="V70" i="13"/>
  <c r="U69" i="13"/>
  <c r="V66" i="13"/>
  <c r="V65" i="13"/>
  <c r="U61" i="13"/>
  <c r="T58" i="13"/>
  <c r="V57" i="13"/>
  <c r="T54" i="13"/>
  <c r="U53" i="13"/>
  <c r="T50" i="13"/>
  <c r="V49" i="13"/>
  <c r="T46" i="13"/>
  <c r="U45" i="13"/>
  <c r="T42" i="13"/>
  <c r="U38" i="13"/>
  <c r="T37" i="13"/>
  <c r="U34" i="13"/>
  <c r="T33" i="13"/>
  <c r="S30" i="13"/>
  <c r="T29" i="13"/>
  <c r="S26" i="13"/>
  <c r="S25" i="13"/>
  <c r="T22" i="13"/>
  <c r="T18" i="13"/>
  <c r="T13" i="13"/>
  <c r="S10" i="13"/>
  <c r="S9" i="13"/>
  <c r="T6" i="13"/>
  <c r="T5" i="13"/>
  <c r="C145" i="12"/>
  <c r="G145" i="12" s="1"/>
  <c r="C144" i="12"/>
  <c r="C143" i="12"/>
  <c r="C142" i="12"/>
  <c r="C141" i="12"/>
  <c r="G141" i="12" s="1"/>
  <c r="C140" i="12"/>
  <c r="C139" i="12"/>
  <c r="C138" i="12"/>
  <c r="C137" i="12"/>
  <c r="G137" i="12" s="1"/>
  <c r="C136" i="12"/>
  <c r="C135" i="12"/>
  <c r="C134" i="12"/>
  <c r="C133" i="12"/>
  <c r="G133" i="12" s="1"/>
  <c r="C132" i="12"/>
  <c r="G132" i="12" s="1"/>
  <c r="C131" i="12"/>
  <c r="C130" i="12"/>
  <c r="C129" i="12"/>
  <c r="C128" i="12"/>
  <c r="C127" i="12"/>
  <c r="C126" i="12"/>
  <c r="C125" i="12"/>
  <c r="G125" i="12" s="1"/>
  <c r="C124" i="12"/>
  <c r="C123" i="12"/>
  <c r="C122" i="12"/>
  <c r="C121" i="12"/>
  <c r="G121" i="12" s="1"/>
  <c r="C120" i="12"/>
  <c r="C119" i="12"/>
  <c r="C118" i="12"/>
  <c r="C117" i="12"/>
  <c r="G117" i="12" s="1"/>
  <c r="C116" i="12"/>
  <c r="G116" i="12" s="1"/>
  <c r="C115" i="12"/>
  <c r="C114" i="12"/>
  <c r="C113" i="12"/>
  <c r="C112" i="12"/>
  <c r="C111" i="12"/>
  <c r="C110" i="12"/>
  <c r="C109" i="12"/>
  <c r="G109" i="12" s="1"/>
  <c r="C108" i="12"/>
  <c r="C107" i="12"/>
  <c r="C106" i="12"/>
  <c r="C105" i="12"/>
  <c r="G105" i="12" s="1"/>
  <c r="C104" i="12"/>
  <c r="C103" i="12"/>
  <c r="C102" i="12"/>
  <c r="C101" i="12"/>
  <c r="G101" i="12" s="1"/>
  <c r="C100" i="12"/>
  <c r="C99" i="12"/>
  <c r="C98" i="12"/>
  <c r="C97" i="12"/>
  <c r="C96" i="12"/>
  <c r="C95" i="12"/>
  <c r="C94" i="12"/>
  <c r="C93" i="12"/>
  <c r="G93" i="12" s="1"/>
  <c r="C92" i="12"/>
  <c r="C91" i="12"/>
  <c r="C90" i="12"/>
  <c r="C89" i="12"/>
  <c r="G89" i="12" s="1"/>
  <c r="C88" i="12"/>
  <c r="C87" i="12"/>
  <c r="C86" i="12"/>
  <c r="C85" i="12"/>
  <c r="G85" i="12" s="1"/>
  <c r="C84" i="12"/>
  <c r="G84" i="12" s="1"/>
  <c r="C83" i="12"/>
  <c r="C82" i="12"/>
  <c r="C81" i="12"/>
  <c r="C80" i="12"/>
  <c r="C79" i="12"/>
  <c r="C78" i="12"/>
  <c r="C77" i="12"/>
  <c r="G77" i="12" s="1"/>
  <c r="C76" i="12"/>
  <c r="C75" i="12"/>
  <c r="C74" i="12"/>
  <c r="C73" i="12"/>
  <c r="G73" i="12" s="1"/>
  <c r="C72" i="12"/>
  <c r="C71" i="12"/>
  <c r="C70" i="12"/>
  <c r="C69" i="12"/>
  <c r="F69" i="12" s="1"/>
  <c r="C68" i="12"/>
  <c r="G68" i="12" s="1"/>
  <c r="C67" i="12"/>
  <c r="C66" i="12"/>
  <c r="C65" i="12"/>
  <c r="C64" i="12"/>
  <c r="C63" i="12"/>
  <c r="C62" i="12"/>
  <c r="C61" i="12"/>
  <c r="G61" i="12" s="1"/>
  <c r="C60" i="12"/>
  <c r="C59" i="12"/>
  <c r="C58" i="12"/>
  <c r="C57" i="12"/>
  <c r="G57" i="12" s="1"/>
  <c r="C56" i="12"/>
  <c r="C55" i="12"/>
  <c r="C54" i="12"/>
  <c r="C53" i="12"/>
  <c r="C52" i="12"/>
  <c r="G52" i="12" s="1"/>
  <c r="C51" i="12"/>
  <c r="C50" i="12"/>
  <c r="C49" i="12"/>
  <c r="C48" i="12"/>
  <c r="C47" i="12"/>
  <c r="C46" i="12"/>
  <c r="C45" i="12"/>
  <c r="G45" i="12" s="1"/>
  <c r="C44" i="12"/>
  <c r="C43" i="12"/>
  <c r="C42" i="12"/>
  <c r="C41" i="12"/>
  <c r="G41" i="12" s="1"/>
  <c r="C40" i="12"/>
  <c r="C39" i="12"/>
  <c r="C38" i="12"/>
  <c r="C37" i="12"/>
  <c r="F37" i="12" s="1"/>
  <c r="C36" i="12"/>
  <c r="G36" i="12" s="1"/>
  <c r="C35" i="12"/>
  <c r="C34" i="12"/>
  <c r="C33" i="12"/>
  <c r="C32" i="12"/>
  <c r="C31" i="12"/>
  <c r="C30" i="12"/>
  <c r="C29" i="12"/>
  <c r="G29" i="12" s="1"/>
  <c r="C28" i="12"/>
  <c r="C27" i="12"/>
  <c r="C26" i="12"/>
  <c r="C25" i="12"/>
  <c r="G25" i="12" s="1"/>
  <c r="C24" i="12"/>
  <c r="C23" i="12"/>
  <c r="C22" i="12"/>
  <c r="C21" i="12"/>
  <c r="F21" i="12" s="1"/>
  <c r="C20" i="12"/>
  <c r="G20" i="12" s="1"/>
  <c r="C19" i="12"/>
  <c r="C18" i="12"/>
  <c r="C17" i="12"/>
  <c r="C16" i="12"/>
  <c r="C15" i="12"/>
  <c r="C14" i="12"/>
  <c r="C13" i="12"/>
  <c r="G13" i="12" s="1"/>
  <c r="C12" i="12"/>
  <c r="C11" i="12"/>
  <c r="C10" i="12"/>
  <c r="C9" i="12"/>
  <c r="G9" i="12" s="1"/>
  <c r="C8" i="12"/>
  <c r="C7" i="12"/>
  <c r="C6" i="12"/>
  <c r="C5" i="12"/>
  <c r="F5" i="12" s="1"/>
  <c r="C4" i="12"/>
  <c r="G4" i="12" s="1"/>
  <c r="C3" i="12"/>
  <c r="C2" i="12"/>
  <c r="A145" i="12"/>
  <c r="A144" i="12"/>
  <c r="A143" i="12"/>
  <c r="A142" i="12"/>
  <c r="G142" i="12" s="1"/>
  <c r="A141" i="12"/>
  <c r="A140" i="12"/>
  <c r="A139" i="12"/>
  <c r="A138" i="12"/>
  <c r="G138" i="12" s="1"/>
  <c r="A137" i="12"/>
  <c r="A136" i="12"/>
  <c r="A135" i="12"/>
  <c r="A134" i="12"/>
  <c r="G134" i="12" s="1"/>
  <c r="A133" i="12"/>
  <c r="A132" i="12"/>
  <c r="A131" i="12"/>
  <c r="A130" i="12"/>
  <c r="G130" i="12" s="1"/>
  <c r="A129" i="12"/>
  <c r="A128" i="12"/>
  <c r="A127" i="12"/>
  <c r="A126" i="12"/>
  <c r="G126" i="12" s="1"/>
  <c r="A125" i="12"/>
  <c r="A124" i="12"/>
  <c r="A123" i="12"/>
  <c r="A122" i="12"/>
  <c r="G122" i="12" s="1"/>
  <c r="A121" i="12"/>
  <c r="A120" i="12"/>
  <c r="A119" i="12"/>
  <c r="A118" i="12"/>
  <c r="G118" i="12" s="1"/>
  <c r="A117" i="12"/>
  <c r="A116" i="12"/>
  <c r="A115" i="12"/>
  <c r="A114" i="12"/>
  <c r="G114" i="12" s="1"/>
  <c r="A113" i="12"/>
  <c r="A112" i="12"/>
  <c r="A111" i="12"/>
  <c r="A110" i="12"/>
  <c r="G110" i="12" s="1"/>
  <c r="A109" i="12"/>
  <c r="A108" i="12"/>
  <c r="A107" i="12"/>
  <c r="A106" i="12"/>
  <c r="G106" i="12" s="1"/>
  <c r="A105" i="12"/>
  <c r="A104" i="12"/>
  <c r="A103" i="12"/>
  <c r="A102" i="12"/>
  <c r="G102" i="12" s="1"/>
  <c r="A101" i="12"/>
  <c r="A100" i="12"/>
  <c r="A99" i="12"/>
  <c r="A98" i="12"/>
  <c r="G98" i="12" s="1"/>
  <c r="A97" i="12"/>
  <c r="A96" i="12"/>
  <c r="A95" i="12"/>
  <c r="A94" i="12"/>
  <c r="G94" i="12" s="1"/>
  <c r="A93" i="12"/>
  <c r="A92" i="12"/>
  <c r="A91" i="12"/>
  <c r="A90" i="12"/>
  <c r="G90" i="12" s="1"/>
  <c r="A89" i="12"/>
  <c r="A88" i="12"/>
  <c r="A87" i="12"/>
  <c r="A86" i="12"/>
  <c r="G86" i="12" s="1"/>
  <c r="A85" i="12"/>
  <c r="A84" i="12"/>
  <c r="A83" i="12"/>
  <c r="A82" i="12"/>
  <c r="G82" i="12" s="1"/>
  <c r="A81" i="12"/>
  <c r="A80" i="12"/>
  <c r="A79" i="12"/>
  <c r="A78" i="12"/>
  <c r="G78" i="12" s="1"/>
  <c r="A77" i="12"/>
  <c r="A76" i="12"/>
  <c r="A75" i="12"/>
  <c r="A74" i="12"/>
  <c r="G74" i="12" s="1"/>
  <c r="A73" i="12"/>
  <c r="A72" i="12"/>
  <c r="A71" i="12"/>
  <c r="A70" i="12"/>
  <c r="G70" i="12" s="1"/>
  <c r="A69" i="12"/>
  <c r="A68" i="12"/>
  <c r="A67" i="12"/>
  <c r="A66" i="12"/>
  <c r="G66" i="12" s="1"/>
  <c r="A65" i="12"/>
  <c r="A64" i="12"/>
  <c r="A63" i="12"/>
  <c r="A62" i="12"/>
  <c r="G62" i="12" s="1"/>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B5" i="12"/>
  <c r="B4" i="12"/>
  <c r="B3" i="12"/>
  <c r="B2" i="12"/>
  <c r="J302" i="9"/>
  <c r="F146" i="8"/>
  <c r="R6" i="17"/>
  <c r="R5" i="17"/>
  <c r="R4" i="17"/>
  <c r="R3" i="17"/>
  <c r="Q6" i="17"/>
  <c r="Q5" i="17"/>
  <c r="Q4" i="17"/>
  <c r="Q3" i="17"/>
  <c r="G7" i="17"/>
  <c r="J7" i="17"/>
  <c r="D7" i="17"/>
  <c r="A7" i="17"/>
  <c r="I18" i="16"/>
  <c r="I17" i="16"/>
  <c r="I16" i="16"/>
  <c r="I15" i="16"/>
  <c r="I14" i="16"/>
  <c r="I13" i="16"/>
  <c r="I12" i="16"/>
  <c r="I11" i="16"/>
  <c r="I10" i="16"/>
  <c r="I9" i="16"/>
  <c r="I8" i="16"/>
  <c r="I7" i="16"/>
  <c r="I6" i="16"/>
  <c r="I5" i="16"/>
  <c r="I4" i="16"/>
  <c r="C15" i="16"/>
  <c r="J15" i="16" s="1"/>
  <c r="B15" i="16"/>
  <c r="C14" i="16"/>
  <c r="J14" i="16" s="1"/>
  <c r="B14" i="16"/>
  <c r="C13" i="16"/>
  <c r="B13" i="16"/>
  <c r="C12" i="16"/>
  <c r="D13" i="16" s="1"/>
  <c r="B12" i="16"/>
  <c r="C11" i="16"/>
  <c r="D12" i="16" s="1"/>
  <c r="B11" i="16"/>
  <c r="C10" i="16"/>
  <c r="J10" i="16" s="1"/>
  <c r="B10" i="16"/>
  <c r="C9" i="16"/>
  <c r="D10" i="16" s="1"/>
  <c r="B9" i="16"/>
  <c r="C8" i="16"/>
  <c r="D9" i="16" s="1"/>
  <c r="B8" i="16"/>
  <c r="C7" i="16"/>
  <c r="D8" i="16" s="1"/>
  <c r="B7" i="16"/>
  <c r="C6" i="16"/>
  <c r="J6" i="16" s="1"/>
  <c r="B6" i="16"/>
  <c r="C5" i="16"/>
  <c r="D6" i="16" s="1"/>
  <c r="B5" i="16"/>
  <c r="C4" i="16"/>
  <c r="D5" i="16" s="1"/>
  <c r="B4" i="16"/>
  <c r="S4"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P4" i="14"/>
  <c r="J4" i="14"/>
  <c r="K4" i="14" s="1"/>
  <c r="J5" i="14"/>
  <c r="K5" i="14" s="1"/>
  <c r="J6" i="14"/>
  <c r="K6" i="14" s="1"/>
  <c r="J7" i="14"/>
  <c r="K7" i="14" s="1"/>
  <c r="J8" i="14"/>
  <c r="K8" i="14" s="1"/>
  <c r="J9" i="14"/>
  <c r="K9" i="14" s="1"/>
  <c r="J10" i="14"/>
  <c r="K10" i="14" s="1"/>
  <c r="J11" i="14"/>
  <c r="K11" i="14" s="1"/>
  <c r="J12" i="14"/>
  <c r="K12" i="14" s="1"/>
  <c r="J13" i="14"/>
  <c r="K13" i="14" s="1"/>
  <c r="J14" i="14"/>
  <c r="K14" i="14" s="1"/>
  <c r="J15" i="14"/>
  <c r="K15" i="14" s="1"/>
  <c r="F4" i="14"/>
  <c r="F5" i="14"/>
  <c r="F6" i="14"/>
  <c r="F7" i="14"/>
  <c r="F8" i="14"/>
  <c r="F9" i="14"/>
  <c r="F10" i="14"/>
  <c r="F11" i="14"/>
  <c r="F12" i="14"/>
  <c r="F13" i="14"/>
  <c r="F14" i="14"/>
  <c r="F15" i="14"/>
  <c r="E4" i="14"/>
  <c r="M4" i="14" s="1"/>
  <c r="E5" i="14"/>
  <c r="E6" i="14"/>
  <c r="E7" i="14"/>
  <c r="E8" i="14"/>
  <c r="M8" i="14" s="1"/>
  <c r="E9" i="14"/>
  <c r="E10" i="14"/>
  <c r="E11" i="14"/>
  <c r="E12" i="14"/>
  <c r="M12" i="14" s="1"/>
  <c r="E13" i="14"/>
  <c r="E14" i="14"/>
  <c r="E15" i="14"/>
  <c r="D4" i="14"/>
  <c r="D5" i="14"/>
  <c r="D6" i="14"/>
  <c r="D7" i="14"/>
  <c r="D8" i="14"/>
  <c r="D9" i="14"/>
  <c r="D10" i="14"/>
  <c r="D11" i="14"/>
  <c r="D12" i="14"/>
  <c r="D13" i="14"/>
  <c r="D14" i="14"/>
  <c r="D15" i="14"/>
  <c r="C4" i="14"/>
  <c r="C5" i="14"/>
  <c r="C6" i="14"/>
  <c r="C7" i="14"/>
  <c r="C8" i="14"/>
  <c r="C9" i="14"/>
  <c r="C10" i="14"/>
  <c r="C11" i="14"/>
  <c r="C12" i="14"/>
  <c r="C13" i="14"/>
  <c r="C14" i="14"/>
  <c r="C15" i="14"/>
  <c r="B4" i="14"/>
  <c r="B5" i="14"/>
  <c r="B6" i="14"/>
  <c r="B7" i="14"/>
  <c r="B8" i="14"/>
  <c r="B9" i="14"/>
  <c r="B10" i="14"/>
  <c r="B11" i="14"/>
  <c r="B12" i="14"/>
  <c r="B13" i="14"/>
  <c r="B14" i="14"/>
  <c r="B15" i="14"/>
  <c r="M11" i="13"/>
  <c r="M12" i="13" s="1"/>
  <c r="M13" i="13" s="1"/>
  <c r="M14" i="13" s="1"/>
  <c r="M15" i="13" s="1"/>
  <c r="M16" i="13" s="1"/>
  <c r="M17" i="13" s="1"/>
  <c r="M18" i="13" s="1"/>
  <c r="M19" i="13" s="1"/>
  <c r="M20" i="13" s="1"/>
  <c r="M21" i="13" s="1"/>
  <c r="M22" i="13" s="1"/>
  <c r="V143" i="13"/>
  <c r="V139" i="13"/>
  <c r="V135" i="13"/>
  <c r="S132" i="13"/>
  <c r="V131" i="13"/>
  <c r="V127" i="13"/>
  <c r="V123" i="13"/>
  <c r="V119" i="13"/>
  <c r="S116" i="13"/>
  <c r="V111" i="13"/>
  <c r="V107" i="13"/>
  <c r="U104" i="13"/>
  <c r="V103" i="13"/>
  <c r="S100" i="13"/>
  <c r="V99" i="13"/>
  <c r="U96" i="13"/>
  <c r="V95" i="13"/>
  <c r="V91" i="13"/>
  <c r="V87" i="13"/>
  <c r="V83" i="13"/>
  <c r="V79" i="13"/>
  <c r="V75" i="13"/>
  <c r="V71" i="13"/>
  <c r="S68" i="13"/>
  <c r="V63" i="13"/>
  <c r="S60" i="13"/>
  <c r="T59" i="13"/>
  <c r="S56" i="13"/>
  <c r="T55" i="13"/>
  <c r="S52" i="13"/>
  <c r="T51" i="13"/>
  <c r="S48" i="13"/>
  <c r="T47" i="13"/>
  <c r="S44" i="13"/>
  <c r="T43" i="13"/>
  <c r="S39" i="13"/>
  <c r="S35" i="13"/>
  <c r="T31" i="13"/>
  <c r="S28" i="13"/>
  <c r="S27" i="13"/>
  <c r="T23" i="13"/>
  <c r="S20" i="13"/>
  <c r="U19" i="13"/>
  <c r="T16" i="13"/>
  <c r="S15" i="13"/>
  <c r="S11" i="13"/>
  <c r="T7" i="13"/>
  <c r="T4" i="13"/>
  <c r="G3" i="12"/>
  <c r="G7" i="12"/>
  <c r="G8" i="12"/>
  <c r="G11" i="12"/>
  <c r="G12" i="12"/>
  <c r="G15" i="12"/>
  <c r="G16" i="12"/>
  <c r="G17" i="12"/>
  <c r="G19" i="12"/>
  <c r="G23" i="12"/>
  <c r="G24" i="12"/>
  <c r="G27" i="12"/>
  <c r="G28" i="12"/>
  <c r="G31" i="12"/>
  <c r="G32" i="12"/>
  <c r="G33" i="12"/>
  <c r="G35" i="12"/>
  <c r="G39" i="12"/>
  <c r="G40" i="12"/>
  <c r="G43" i="12"/>
  <c r="G44" i="12"/>
  <c r="G47" i="12"/>
  <c r="G48" i="12"/>
  <c r="G49" i="12"/>
  <c r="G51" i="12"/>
  <c r="G55" i="12"/>
  <c r="G56" i="12"/>
  <c r="G59" i="12"/>
  <c r="G60" i="12"/>
  <c r="G63" i="12"/>
  <c r="G64" i="12"/>
  <c r="G65" i="12"/>
  <c r="G67" i="12"/>
  <c r="G71" i="12"/>
  <c r="G72" i="12"/>
  <c r="G75" i="12"/>
  <c r="G76" i="12"/>
  <c r="G79" i="12"/>
  <c r="G80" i="12"/>
  <c r="G81" i="12"/>
  <c r="G83" i="12"/>
  <c r="G87" i="12"/>
  <c r="G88" i="12"/>
  <c r="G91" i="12"/>
  <c r="G92" i="12"/>
  <c r="G95" i="12"/>
  <c r="G96" i="12"/>
  <c r="G97" i="12"/>
  <c r="G99" i="12"/>
  <c r="G103" i="12"/>
  <c r="G104" i="12"/>
  <c r="G107" i="12"/>
  <c r="G108" i="12"/>
  <c r="G111" i="12"/>
  <c r="G112" i="12"/>
  <c r="G113" i="12"/>
  <c r="G115" i="12"/>
  <c r="G119" i="12"/>
  <c r="G120" i="12"/>
  <c r="G123" i="12"/>
  <c r="G124" i="12"/>
  <c r="G127" i="12"/>
  <c r="G128" i="12"/>
  <c r="G129" i="12"/>
  <c r="G131" i="12"/>
  <c r="G135" i="12"/>
  <c r="G136" i="12"/>
  <c r="G139" i="12"/>
  <c r="G140" i="12"/>
  <c r="G143" i="12"/>
  <c r="G144" i="12"/>
  <c r="F3" i="12"/>
  <c r="H3" i="12" s="1"/>
  <c r="F7" i="12"/>
  <c r="I7" i="12" s="1"/>
  <c r="F8" i="12"/>
  <c r="H8" i="12" s="1"/>
  <c r="F11" i="12"/>
  <c r="H11" i="12" s="1"/>
  <c r="F12" i="12"/>
  <c r="I12" i="12" s="1"/>
  <c r="F15" i="12"/>
  <c r="F16" i="12"/>
  <c r="H16" i="12" s="1"/>
  <c r="F17" i="12"/>
  <c r="F19" i="12"/>
  <c r="H19" i="12" s="1"/>
  <c r="F23" i="12"/>
  <c r="I23" i="12" s="1"/>
  <c r="F24" i="12"/>
  <c r="H24" i="12" s="1"/>
  <c r="F27" i="12"/>
  <c r="H27" i="12" s="1"/>
  <c r="F28" i="12"/>
  <c r="I28" i="12" s="1"/>
  <c r="F31" i="12"/>
  <c r="F32" i="12"/>
  <c r="H32" i="12" s="1"/>
  <c r="F33" i="12"/>
  <c r="F35" i="12"/>
  <c r="H35" i="12" s="1"/>
  <c r="F39" i="12"/>
  <c r="I39" i="12" s="1"/>
  <c r="F40" i="12"/>
  <c r="H40" i="12" s="1"/>
  <c r="F43" i="12"/>
  <c r="H43" i="12" s="1"/>
  <c r="F44" i="12"/>
  <c r="I44" i="12" s="1"/>
  <c r="F45" i="12"/>
  <c r="F47" i="12"/>
  <c r="F48" i="12"/>
  <c r="H48" i="12" s="1"/>
  <c r="F49" i="12"/>
  <c r="F51" i="12"/>
  <c r="H51" i="12" s="1"/>
  <c r="F55" i="12"/>
  <c r="I55" i="12" s="1"/>
  <c r="F56" i="12"/>
  <c r="H56" i="12" s="1"/>
  <c r="F59" i="12"/>
  <c r="H59" i="12" s="1"/>
  <c r="F60" i="12"/>
  <c r="I60" i="12" s="1"/>
  <c r="F61" i="12"/>
  <c r="F63" i="12"/>
  <c r="F64" i="12"/>
  <c r="H64" i="12" s="1"/>
  <c r="F65" i="12"/>
  <c r="F67" i="12"/>
  <c r="H67" i="12" s="1"/>
  <c r="F71" i="12"/>
  <c r="I71" i="12" s="1"/>
  <c r="F72" i="12"/>
  <c r="H72" i="12" s="1"/>
  <c r="F75" i="12"/>
  <c r="H75" i="12" s="1"/>
  <c r="F76" i="12"/>
  <c r="I76" i="12" s="1"/>
  <c r="F77" i="12"/>
  <c r="F79" i="12"/>
  <c r="F80" i="12"/>
  <c r="H80" i="12" s="1"/>
  <c r="F81" i="12"/>
  <c r="F83" i="12"/>
  <c r="H83" i="12" s="1"/>
  <c r="F84" i="12"/>
  <c r="F87" i="12"/>
  <c r="I87" i="12" s="1"/>
  <c r="F88" i="12"/>
  <c r="H88" i="12" s="1"/>
  <c r="F91" i="12"/>
  <c r="H91" i="12" s="1"/>
  <c r="F92" i="12"/>
  <c r="I92" i="12" s="1"/>
  <c r="F93" i="12"/>
  <c r="F95" i="12"/>
  <c r="F96" i="12"/>
  <c r="H96" i="12" s="1"/>
  <c r="F97" i="12"/>
  <c r="F99" i="12"/>
  <c r="H99" i="12" s="1"/>
  <c r="F100" i="12"/>
  <c r="F103" i="12"/>
  <c r="I103" i="12" s="1"/>
  <c r="F104" i="12"/>
  <c r="H104" i="12" s="1"/>
  <c r="F107" i="12"/>
  <c r="H107" i="12" s="1"/>
  <c r="F108" i="12"/>
  <c r="I108" i="12" s="1"/>
  <c r="F109" i="12"/>
  <c r="F111" i="12"/>
  <c r="F112" i="12"/>
  <c r="H112" i="12" s="1"/>
  <c r="F113" i="12"/>
  <c r="F115" i="12"/>
  <c r="H115" i="12" s="1"/>
  <c r="F116" i="12"/>
  <c r="F119" i="12"/>
  <c r="I119" i="12" s="1"/>
  <c r="F120" i="12"/>
  <c r="H120" i="12" s="1"/>
  <c r="F123" i="12"/>
  <c r="H123" i="12" s="1"/>
  <c r="F124" i="12"/>
  <c r="I124" i="12" s="1"/>
  <c r="F125" i="12"/>
  <c r="F127" i="12"/>
  <c r="F128" i="12"/>
  <c r="I128" i="12" s="1"/>
  <c r="F129" i="12"/>
  <c r="F131" i="12"/>
  <c r="H131" i="12" s="1"/>
  <c r="F132" i="12"/>
  <c r="F135" i="12"/>
  <c r="F136" i="12"/>
  <c r="I136" i="12" s="1"/>
  <c r="F139" i="12"/>
  <c r="H139" i="12" s="1"/>
  <c r="F140" i="12"/>
  <c r="I140" i="12" s="1"/>
  <c r="F141" i="12"/>
  <c r="F143" i="12"/>
  <c r="F144" i="12"/>
  <c r="H144" i="12" s="1"/>
  <c r="L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J301" i="9"/>
  <c r="J300" i="9"/>
  <c r="J299" i="9"/>
  <c r="J298" i="9"/>
  <c r="J297" i="9"/>
  <c r="J296" i="9"/>
  <c r="J295" i="9"/>
  <c r="J294" i="9"/>
  <c r="J293" i="9"/>
  <c r="J292" i="9"/>
  <c r="J291" i="9"/>
  <c r="J290" i="9"/>
  <c r="J289" i="9"/>
  <c r="J288" i="9"/>
  <c r="J287" i="9"/>
  <c r="J286" i="9"/>
  <c r="J285" i="9"/>
  <c r="J284" i="9"/>
  <c r="J283" i="9"/>
  <c r="J282" i="9"/>
  <c r="J281" i="9"/>
  <c r="J280" i="9"/>
  <c r="J279" i="9"/>
  <c r="J278" i="9"/>
  <c r="J277" i="9"/>
  <c r="J276" i="9"/>
  <c r="J275" i="9"/>
  <c r="J274" i="9"/>
  <c r="J273" i="9"/>
  <c r="J272" i="9"/>
  <c r="J271" i="9"/>
  <c r="J270" i="9"/>
  <c r="J269" i="9"/>
  <c r="J268" i="9"/>
  <c r="J267" i="9"/>
  <c r="J266" i="9"/>
  <c r="J265" i="9"/>
  <c r="J264" i="9"/>
  <c r="J263" i="9"/>
  <c r="J262" i="9"/>
  <c r="J261" i="9"/>
  <c r="J260" i="9"/>
  <c r="J259" i="9"/>
  <c r="J258" i="9"/>
  <c r="J257" i="9"/>
  <c r="J256" i="9"/>
  <c r="J255" i="9"/>
  <c r="J254" i="9"/>
  <c r="J253" i="9"/>
  <c r="J252" i="9"/>
  <c r="J251" i="9"/>
  <c r="J250" i="9"/>
  <c r="J249" i="9"/>
  <c r="J248" i="9"/>
  <c r="J247" i="9"/>
  <c r="J246" i="9"/>
  <c r="J245" i="9"/>
  <c r="J244" i="9"/>
  <c r="J243" i="9"/>
  <c r="J242" i="9"/>
  <c r="J241" i="9"/>
  <c r="J240" i="9"/>
  <c r="J239" i="9"/>
  <c r="J238" i="9"/>
  <c r="J237" i="9"/>
  <c r="J236" i="9"/>
  <c r="J235" i="9"/>
  <c r="J234" i="9"/>
  <c r="J233" i="9"/>
  <c r="J232" i="9"/>
  <c r="J231" i="9"/>
  <c r="J230" i="9"/>
  <c r="J229" i="9"/>
  <c r="J228" i="9"/>
  <c r="J227" i="9"/>
  <c r="J226" i="9"/>
  <c r="J225" i="9"/>
  <c r="J224" i="9"/>
  <c r="J223" i="9"/>
  <c r="J222" i="9"/>
  <c r="J221" i="9"/>
  <c r="J220" i="9"/>
  <c r="J219" i="9"/>
  <c r="J218" i="9"/>
  <c r="J217" i="9"/>
  <c r="J216" i="9"/>
  <c r="J215" i="9"/>
  <c r="J214" i="9"/>
  <c r="J213" i="9"/>
  <c r="J212" i="9"/>
  <c r="J211" i="9"/>
  <c r="J210" i="9"/>
  <c r="J209" i="9"/>
  <c r="J208" i="9"/>
  <c r="J207" i="9"/>
  <c r="J206" i="9"/>
  <c r="J205" i="9"/>
  <c r="J204" i="9"/>
  <c r="J203" i="9"/>
  <c r="J202" i="9"/>
  <c r="J201" i="9"/>
  <c r="J200" i="9"/>
  <c r="J199" i="9"/>
  <c r="J198" i="9"/>
  <c r="J197" i="9"/>
  <c r="J196" i="9"/>
  <c r="J195" i="9"/>
  <c r="J194" i="9"/>
  <c r="J193" i="9"/>
  <c r="J192" i="9"/>
  <c r="J191" i="9"/>
  <c r="J190" i="9"/>
  <c r="J189" i="9"/>
  <c r="J188" i="9"/>
  <c r="J187" i="9"/>
  <c r="J186" i="9"/>
  <c r="J185" i="9"/>
  <c r="J184" i="9"/>
  <c r="J183" i="9"/>
  <c r="J182" i="9"/>
  <c r="J181" i="9"/>
  <c r="J180" i="9"/>
  <c r="J179" i="9"/>
  <c r="J178" i="9"/>
  <c r="J177" i="9"/>
  <c r="J176" i="9"/>
  <c r="J175" i="9"/>
  <c r="J174" i="9"/>
  <c r="J173" i="9"/>
  <c r="J172" i="9"/>
  <c r="J171" i="9"/>
  <c r="J170" i="9"/>
  <c r="J169" i="9"/>
  <c r="J168" i="9"/>
  <c r="J167" i="9"/>
  <c r="J166" i="9"/>
  <c r="J165" i="9"/>
  <c r="J164" i="9"/>
  <c r="J163" i="9"/>
  <c r="J162" i="9"/>
  <c r="J161" i="9"/>
  <c r="J160" i="9"/>
  <c r="J159" i="9"/>
  <c r="J158" i="9"/>
  <c r="J157" i="9"/>
  <c r="J156" i="9"/>
  <c r="J155" i="9"/>
  <c r="J154" i="9"/>
  <c r="J153" i="9"/>
  <c r="J152" i="9"/>
  <c r="J151" i="9"/>
  <c r="J150" i="9"/>
  <c r="J149" i="9"/>
  <c r="J148" i="9"/>
  <c r="J147" i="9"/>
  <c r="J146" i="9"/>
  <c r="J145" i="9"/>
  <c r="J144" i="9"/>
  <c r="J143" i="9"/>
  <c r="J142" i="9"/>
  <c r="J141" i="9"/>
  <c r="J140" i="9"/>
  <c r="J139" i="9"/>
  <c r="J138" i="9"/>
  <c r="J137" i="9"/>
  <c r="J136" i="9"/>
  <c r="J135" i="9"/>
  <c r="J134" i="9"/>
  <c r="J133" i="9"/>
  <c r="J132" i="9"/>
  <c r="J131" i="9"/>
  <c r="J130" i="9"/>
  <c r="J129" i="9"/>
  <c r="J128" i="9"/>
  <c r="J127" i="9"/>
  <c r="J126" i="9"/>
  <c r="J1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J2" i="9"/>
  <c r="K2" i="7"/>
  <c r="J2" i="7"/>
  <c r="I2" i="7"/>
  <c r="G2" i="7"/>
  <c r="H2" i="7" s="1"/>
  <c r="F2" i="7"/>
  <c r="E2" i="7"/>
  <c r="D2" i="7"/>
  <c r="C2" i="7"/>
  <c r="B2" i="7"/>
  <c r="A3" i="7"/>
  <c r="A4" i="7" s="1"/>
  <c r="A5" i="7" s="1"/>
  <c r="A2" i="7"/>
  <c r="E60" i="15" l="1"/>
  <c r="F60" i="15"/>
  <c r="M56" i="15"/>
  <c r="M8" i="15"/>
  <c r="M59" i="15"/>
  <c r="M55" i="15"/>
  <c r="M51" i="15"/>
  <c r="M47" i="15"/>
  <c r="M43" i="15"/>
  <c r="M39" i="15"/>
  <c r="M35" i="15"/>
  <c r="M31" i="15"/>
  <c r="M52" i="15"/>
  <c r="M40" i="15"/>
  <c r="M32" i="15"/>
  <c r="M58" i="15"/>
  <c r="M54" i="15"/>
  <c r="M50" i="15"/>
  <c r="M46" i="15"/>
  <c r="M42" i="15"/>
  <c r="M38" i="15"/>
  <c r="M34" i="15"/>
  <c r="M30" i="15"/>
  <c r="M26" i="15"/>
  <c r="M22" i="15"/>
  <c r="M18" i="15"/>
  <c r="M14" i="15"/>
  <c r="M10" i="15"/>
  <c r="M6" i="15"/>
  <c r="M44" i="15"/>
  <c r="M28" i="15"/>
  <c r="S5" i="15"/>
  <c r="M48" i="15"/>
  <c r="M36" i="15"/>
  <c r="M24" i="15"/>
  <c r="M20" i="15"/>
  <c r="M16" i="15"/>
  <c r="M12" i="15"/>
  <c r="M27" i="15"/>
  <c r="S7" i="15"/>
  <c r="H16" i="14"/>
  <c r="J60" i="15"/>
  <c r="E15" i="16"/>
  <c r="A6" i="7"/>
  <c r="I5" i="7"/>
  <c r="E5" i="7"/>
  <c r="K5" i="7"/>
  <c r="F5" i="7"/>
  <c r="J5" i="7"/>
  <c r="D5" i="7"/>
  <c r="C5" i="7"/>
  <c r="B5" i="7"/>
  <c r="D3" i="7"/>
  <c r="I3" i="7"/>
  <c r="C3" i="7"/>
  <c r="G3" i="7"/>
  <c r="H3" i="7" s="1"/>
  <c r="B3" i="7"/>
  <c r="K3" i="7"/>
  <c r="F3" i="7"/>
  <c r="E3" i="7"/>
  <c r="G5" i="7"/>
  <c r="H5" i="7" s="1"/>
  <c r="K4" i="7"/>
  <c r="F4" i="7"/>
  <c r="B4" i="7"/>
  <c r="J4" i="7"/>
  <c r="D4" i="7"/>
  <c r="I4" i="7"/>
  <c r="C4" i="7"/>
  <c r="G4" i="7"/>
  <c r="H4" i="7" s="1"/>
  <c r="J3" i="7"/>
  <c r="E4" i="7"/>
  <c r="I16" i="14"/>
  <c r="E16" i="14"/>
  <c r="M10" i="14"/>
  <c r="M13" i="14"/>
  <c r="M9" i="14"/>
  <c r="M5" i="14"/>
  <c r="J16" i="14"/>
  <c r="M14" i="14"/>
  <c r="M15" i="14"/>
  <c r="M11" i="14"/>
  <c r="M7" i="14"/>
  <c r="P6" i="14"/>
  <c r="P8" i="14"/>
  <c r="P5" i="14"/>
  <c r="P7" i="14"/>
  <c r="F133" i="12"/>
  <c r="F85" i="12"/>
  <c r="I85" i="12" s="1"/>
  <c r="F53" i="12"/>
  <c r="G69" i="12"/>
  <c r="G53" i="12"/>
  <c r="G37" i="12"/>
  <c r="I37" i="12" s="1"/>
  <c r="G21" i="12"/>
  <c r="G5" i="12"/>
  <c r="F117" i="12"/>
  <c r="I117" i="12" s="1"/>
  <c r="F101" i="12"/>
  <c r="F137" i="12"/>
  <c r="F121" i="12"/>
  <c r="F105" i="12"/>
  <c r="I105" i="12" s="1"/>
  <c r="F89" i="12"/>
  <c r="F73" i="12"/>
  <c r="F68" i="12"/>
  <c r="H68" i="12" s="1"/>
  <c r="F57" i="12"/>
  <c r="I57" i="12" s="1"/>
  <c r="F52" i="12"/>
  <c r="F41" i="12"/>
  <c r="F36" i="12"/>
  <c r="H36" i="12" s="1"/>
  <c r="F25" i="12"/>
  <c r="I25" i="12" s="1"/>
  <c r="F20" i="12"/>
  <c r="F9" i="12"/>
  <c r="F4" i="12"/>
  <c r="I4" i="12" s="1"/>
  <c r="G100" i="12"/>
  <c r="H100" i="12" s="1"/>
  <c r="H79" i="12"/>
  <c r="H47" i="12"/>
  <c r="H15" i="12"/>
  <c r="F145" i="12"/>
  <c r="I145" i="12" s="1"/>
  <c r="F29" i="12"/>
  <c r="F13" i="12"/>
  <c r="F2" i="12"/>
  <c r="G2" i="12"/>
  <c r="I132" i="12"/>
  <c r="I116" i="12"/>
  <c r="I100" i="12"/>
  <c r="I84" i="12"/>
  <c r="I68" i="12"/>
  <c r="G6" i="12"/>
  <c r="F6" i="12"/>
  <c r="G10" i="12"/>
  <c r="F10" i="12"/>
  <c r="G14" i="12"/>
  <c r="F14" i="12"/>
  <c r="G18" i="12"/>
  <c r="F18" i="12"/>
  <c r="G22" i="12"/>
  <c r="F22" i="12"/>
  <c r="G26" i="12"/>
  <c r="F26" i="12"/>
  <c r="G30" i="12"/>
  <c r="F30" i="12"/>
  <c r="G34" i="12"/>
  <c r="F34" i="12"/>
  <c r="G38" i="12"/>
  <c r="I38" i="12" s="1"/>
  <c r="F38" i="12"/>
  <c r="G42" i="12"/>
  <c r="F42" i="12"/>
  <c r="G46" i="12"/>
  <c r="F46" i="12"/>
  <c r="G50" i="12"/>
  <c r="F50" i="12"/>
  <c r="G54" i="12"/>
  <c r="I54" i="12" s="1"/>
  <c r="F54" i="12"/>
  <c r="G58" i="12"/>
  <c r="F58" i="12"/>
  <c r="I79" i="12"/>
  <c r="I63" i="12"/>
  <c r="I111" i="12"/>
  <c r="I95" i="12"/>
  <c r="F142" i="12"/>
  <c r="H142" i="12" s="1"/>
  <c r="F138" i="12"/>
  <c r="I138" i="12" s="1"/>
  <c r="F134" i="12"/>
  <c r="H134" i="12" s="1"/>
  <c r="F130" i="12"/>
  <c r="I130" i="12" s="1"/>
  <c r="F126" i="12"/>
  <c r="I126" i="12" s="1"/>
  <c r="F122" i="12"/>
  <c r="I122" i="12" s="1"/>
  <c r="F118" i="12"/>
  <c r="H118" i="12" s="1"/>
  <c r="F114" i="12"/>
  <c r="I114" i="12" s="1"/>
  <c r="F110" i="12"/>
  <c r="H110" i="12" s="1"/>
  <c r="F106" i="12"/>
  <c r="I106" i="12" s="1"/>
  <c r="F102" i="12"/>
  <c r="H102" i="12" s="1"/>
  <c r="F98" i="12"/>
  <c r="I98" i="12" s="1"/>
  <c r="F94" i="12"/>
  <c r="H94" i="12" s="1"/>
  <c r="F90" i="12"/>
  <c r="I90" i="12" s="1"/>
  <c r="F86" i="12"/>
  <c r="H86" i="12" s="1"/>
  <c r="F82" i="12"/>
  <c r="I82" i="12" s="1"/>
  <c r="F78" i="12"/>
  <c r="H78" i="12" s="1"/>
  <c r="F74" i="12"/>
  <c r="I74" i="12" s="1"/>
  <c r="F70" i="12"/>
  <c r="H70" i="12" s="1"/>
  <c r="F66" i="12"/>
  <c r="I66" i="12" s="1"/>
  <c r="F62" i="12"/>
  <c r="H62" i="12" s="1"/>
  <c r="I52" i="12"/>
  <c r="I47" i="12"/>
  <c r="I36" i="12"/>
  <c r="I31" i="12"/>
  <c r="I20" i="12"/>
  <c r="I15" i="12"/>
  <c r="I112" i="12"/>
  <c r="I80" i="12"/>
  <c r="I59" i="12"/>
  <c r="I48" i="12"/>
  <c r="I27" i="12"/>
  <c r="I16" i="12"/>
  <c r="H4" i="12"/>
  <c r="I2" i="12"/>
  <c r="V110" i="13"/>
  <c r="V62" i="13"/>
  <c r="V126" i="13"/>
  <c r="S18" i="13"/>
  <c r="T10" i="13"/>
  <c r="V14" i="13"/>
  <c r="V78" i="13"/>
  <c r="V142" i="13"/>
  <c r="T34" i="13"/>
  <c r="V46" i="13"/>
  <c r="V30" i="13"/>
  <c r="S50" i="13"/>
  <c r="S23" i="13"/>
  <c r="U16" i="13"/>
  <c r="V18" i="13"/>
  <c r="X18" i="13" s="1"/>
  <c r="V34" i="13"/>
  <c r="V50" i="13"/>
  <c r="S14" i="13"/>
  <c r="S19" i="13"/>
  <c r="W19" i="13" s="1"/>
  <c r="T35" i="13"/>
  <c r="S42" i="13"/>
  <c r="S54" i="13"/>
  <c r="T39" i="13"/>
  <c r="V6" i="13"/>
  <c r="X6" i="13" s="1"/>
  <c r="V22" i="13"/>
  <c r="V38" i="13"/>
  <c r="X38" i="13" s="1"/>
  <c r="V54" i="13"/>
  <c r="X54" i="13" s="1"/>
  <c r="T14" i="13"/>
  <c r="T19" i="13"/>
  <c r="T30" i="13"/>
  <c r="X30" i="13" s="1"/>
  <c r="S38" i="13"/>
  <c r="W38" i="13" s="1"/>
  <c r="S46" i="13"/>
  <c r="V10" i="13"/>
  <c r="V26" i="13"/>
  <c r="V42" i="13"/>
  <c r="X42" i="13" s="1"/>
  <c r="V58" i="13"/>
  <c r="X58" i="13" s="1"/>
  <c r="T15" i="13"/>
  <c r="S34" i="13"/>
  <c r="W34" i="13" s="1"/>
  <c r="T38" i="13"/>
  <c r="S58" i="13"/>
  <c r="S4" i="13"/>
  <c r="U109" i="13"/>
  <c r="U117" i="13"/>
  <c r="U93" i="13"/>
  <c r="T17" i="13"/>
  <c r="S17" i="13"/>
  <c r="T21" i="13"/>
  <c r="S21" i="13"/>
  <c r="S77" i="13"/>
  <c r="T77" i="13"/>
  <c r="S81" i="13"/>
  <c r="T81" i="13"/>
  <c r="S85" i="13"/>
  <c r="T85" i="13"/>
  <c r="S125" i="13"/>
  <c r="T125" i="13"/>
  <c r="S129" i="13"/>
  <c r="T129" i="13"/>
  <c r="S133" i="13"/>
  <c r="T133" i="13"/>
  <c r="S141" i="13"/>
  <c r="T141" i="13"/>
  <c r="U5" i="13"/>
  <c r="U21" i="13"/>
  <c r="U37" i="13"/>
  <c r="T25" i="13"/>
  <c r="T89" i="13"/>
  <c r="U24" i="13"/>
  <c r="U32" i="13"/>
  <c r="U56" i="13"/>
  <c r="W56" i="13" s="1"/>
  <c r="U64" i="13"/>
  <c r="U72" i="13"/>
  <c r="V9" i="13"/>
  <c r="V25" i="13"/>
  <c r="V33" i="13"/>
  <c r="X33" i="13" s="1"/>
  <c r="V73" i="13"/>
  <c r="V81" i="13"/>
  <c r="V89" i="13"/>
  <c r="V105" i="13"/>
  <c r="V121" i="13"/>
  <c r="V129" i="13"/>
  <c r="S13" i="13"/>
  <c r="S33" i="13"/>
  <c r="T73" i="13"/>
  <c r="T137" i="13"/>
  <c r="S93" i="13"/>
  <c r="T93" i="13"/>
  <c r="S97" i="13"/>
  <c r="T97" i="13"/>
  <c r="X97" i="13" s="1"/>
  <c r="S101" i="13"/>
  <c r="T101" i="13"/>
  <c r="S145" i="13"/>
  <c r="T145" i="13"/>
  <c r="X145" i="13" s="1"/>
  <c r="U13" i="13"/>
  <c r="U29" i="13"/>
  <c r="U77" i="13"/>
  <c r="U141" i="13"/>
  <c r="S5" i="13"/>
  <c r="U14" i="13"/>
  <c r="V67" i="13"/>
  <c r="V115" i="13"/>
  <c r="S29" i="13"/>
  <c r="T121" i="13"/>
  <c r="T41" i="13"/>
  <c r="X41" i="13" s="1"/>
  <c r="S41" i="13"/>
  <c r="T45" i="13"/>
  <c r="S45" i="13"/>
  <c r="W45" i="13" s="1"/>
  <c r="T49" i="13"/>
  <c r="X49" i="13" s="1"/>
  <c r="S49" i="13"/>
  <c r="T53" i="13"/>
  <c r="S53" i="13"/>
  <c r="W53" i="13" s="1"/>
  <c r="T57" i="13"/>
  <c r="X57" i="13" s="1"/>
  <c r="S57" i="13"/>
  <c r="T61" i="13"/>
  <c r="S61" i="13"/>
  <c r="W61" i="13" s="1"/>
  <c r="S65" i="13"/>
  <c r="T65" i="13"/>
  <c r="X65" i="13" s="1"/>
  <c r="S69" i="13"/>
  <c r="W69" i="13" s="1"/>
  <c r="T69" i="13"/>
  <c r="S109" i="13"/>
  <c r="T109" i="13"/>
  <c r="S113" i="13"/>
  <c r="T113" i="13"/>
  <c r="X113" i="13" s="1"/>
  <c r="S117" i="13"/>
  <c r="T117" i="13"/>
  <c r="U9" i="13"/>
  <c r="W9" i="13" s="1"/>
  <c r="U17" i="13"/>
  <c r="U25" i="13"/>
  <c r="W25" i="13" s="1"/>
  <c r="U33" i="13"/>
  <c r="U41" i="13"/>
  <c r="U49" i="13"/>
  <c r="U57" i="13"/>
  <c r="U65" i="13"/>
  <c r="U73" i="13"/>
  <c r="W73" i="13" s="1"/>
  <c r="U81" i="13"/>
  <c r="H89" i="13"/>
  <c r="H113" i="13"/>
  <c r="U145" i="13"/>
  <c r="S8" i="13"/>
  <c r="W8" i="13" s="1"/>
  <c r="V8" i="13"/>
  <c r="T8" i="13"/>
  <c r="T12" i="13"/>
  <c r="V12" i="13"/>
  <c r="S12" i="13"/>
  <c r="S16" i="13"/>
  <c r="V16" i="13"/>
  <c r="X16" i="13" s="1"/>
  <c r="T20" i="13"/>
  <c r="V20" i="13"/>
  <c r="S24" i="13"/>
  <c r="V24" i="13"/>
  <c r="T28" i="13"/>
  <c r="T32" i="13"/>
  <c r="V32" i="13"/>
  <c r="S32" i="13"/>
  <c r="T36" i="13"/>
  <c r="V36" i="13"/>
  <c r="S36" i="13"/>
  <c r="T40" i="13"/>
  <c r="I40" i="13"/>
  <c r="J40" i="13" s="1"/>
  <c r="S40" i="13"/>
  <c r="W40" i="13" s="1"/>
  <c r="T44" i="13"/>
  <c r="V44" i="13"/>
  <c r="T48" i="13"/>
  <c r="V48" i="13"/>
  <c r="T52" i="13"/>
  <c r="T56" i="13"/>
  <c r="V56" i="13"/>
  <c r="T60" i="13"/>
  <c r="V60" i="13"/>
  <c r="T64" i="13"/>
  <c r="V64" i="13"/>
  <c r="S64" i="13"/>
  <c r="T68" i="13"/>
  <c r="V68" i="13"/>
  <c r="T72" i="13"/>
  <c r="S72" i="13"/>
  <c r="W72" i="13" s="1"/>
  <c r="V72" i="13"/>
  <c r="T76" i="13"/>
  <c r="S76" i="13"/>
  <c r="T80" i="13"/>
  <c r="V80" i="13"/>
  <c r="S80" i="13"/>
  <c r="W80" i="13" s="1"/>
  <c r="T84" i="13"/>
  <c r="V84" i="13"/>
  <c r="T88" i="13"/>
  <c r="S88" i="13"/>
  <c r="W88" i="13" s="1"/>
  <c r="I88" i="13"/>
  <c r="J88" i="13" s="1"/>
  <c r="T92" i="13"/>
  <c r="V92" i="13"/>
  <c r="S92" i="13"/>
  <c r="T96" i="13"/>
  <c r="V96" i="13"/>
  <c r="S96" i="13"/>
  <c r="W96" i="13" s="1"/>
  <c r="T100" i="13"/>
  <c r="T104" i="13"/>
  <c r="S104" i="13"/>
  <c r="W104" i="13" s="1"/>
  <c r="V104" i="13"/>
  <c r="T108" i="13"/>
  <c r="V108" i="13"/>
  <c r="S108" i="13"/>
  <c r="T112" i="13"/>
  <c r="V112" i="13"/>
  <c r="S112" i="13"/>
  <c r="W112" i="13" s="1"/>
  <c r="T116" i="13"/>
  <c r="V116" i="13"/>
  <c r="T120" i="13"/>
  <c r="S120" i="13"/>
  <c r="W120" i="13" s="1"/>
  <c r="V120" i="13"/>
  <c r="T124" i="13"/>
  <c r="S124" i="13"/>
  <c r="T128" i="13"/>
  <c r="V128" i="13"/>
  <c r="S128" i="13"/>
  <c r="W128" i="13" s="1"/>
  <c r="T132" i="13"/>
  <c r="V132" i="13"/>
  <c r="T136" i="13"/>
  <c r="S136" i="13"/>
  <c r="W136" i="13" s="1"/>
  <c r="V136" i="13"/>
  <c r="T140" i="13"/>
  <c r="V140" i="13"/>
  <c r="S140" i="13"/>
  <c r="T144" i="13"/>
  <c r="V144" i="13"/>
  <c r="S144" i="13"/>
  <c r="W144" i="13" s="1"/>
  <c r="U4" i="13"/>
  <c r="U12" i="13"/>
  <c r="U28" i="13"/>
  <c r="W28" i="13" s="1"/>
  <c r="U52" i="13"/>
  <c r="W52" i="13" s="1"/>
  <c r="U76" i="13"/>
  <c r="U92" i="13"/>
  <c r="U100" i="13"/>
  <c r="W100" i="13" s="1"/>
  <c r="U108" i="13"/>
  <c r="U124" i="13"/>
  <c r="U140" i="13"/>
  <c r="V5" i="13"/>
  <c r="X5" i="13" s="1"/>
  <c r="V13" i="13"/>
  <c r="X13" i="13" s="1"/>
  <c r="V21" i="13"/>
  <c r="V29" i="13"/>
  <c r="X29" i="13" s="1"/>
  <c r="V37" i="13"/>
  <c r="X37" i="13" s="1"/>
  <c r="V45" i="13"/>
  <c r="V53" i="13"/>
  <c r="V61" i="13"/>
  <c r="V69" i="13"/>
  <c r="V77" i="13"/>
  <c r="V85" i="13"/>
  <c r="V93" i="13"/>
  <c r="V101" i="13"/>
  <c r="V109" i="13"/>
  <c r="V117" i="13"/>
  <c r="V125" i="13"/>
  <c r="V133" i="13"/>
  <c r="V141" i="13"/>
  <c r="T9" i="13"/>
  <c r="T24" i="13"/>
  <c r="X34" i="13"/>
  <c r="S37" i="13"/>
  <c r="S84" i="13"/>
  <c r="T105" i="13"/>
  <c r="X105" i="13" s="1"/>
  <c r="X22" i="13"/>
  <c r="X46" i="13"/>
  <c r="X50" i="13"/>
  <c r="T62" i="13"/>
  <c r="S62" i="13"/>
  <c r="T66" i="13"/>
  <c r="X66" i="13" s="1"/>
  <c r="S66" i="13"/>
  <c r="T70" i="13"/>
  <c r="X70" i="13" s="1"/>
  <c r="S70" i="13"/>
  <c r="T74" i="13"/>
  <c r="X74" i="13" s="1"/>
  <c r="S74" i="13"/>
  <c r="T78" i="13"/>
  <c r="S78" i="13"/>
  <c r="T82" i="13"/>
  <c r="X82" i="13" s="1"/>
  <c r="S82" i="13"/>
  <c r="T86" i="13"/>
  <c r="X86" i="13" s="1"/>
  <c r="S86" i="13"/>
  <c r="T90" i="13"/>
  <c r="X90" i="13" s="1"/>
  <c r="S90" i="13"/>
  <c r="T94" i="13"/>
  <c r="X94" i="13" s="1"/>
  <c r="S94" i="13"/>
  <c r="T98" i="13"/>
  <c r="X98" i="13" s="1"/>
  <c r="S98" i="13"/>
  <c r="T102" i="13"/>
  <c r="X102" i="13" s="1"/>
  <c r="S102" i="13"/>
  <c r="T106" i="13"/>
  <c r="X106" i="13" s="1"/>
  <c r="S106" i="13"/>
  <c r="T110" i="13"/>
  <c r="S110" i="13"/>
  <c r="T114" i="13"/>
  <c r="X114" i="13" s="1"/>
  <c r="S114" i="13"/>
  <c r="T118" i="13"/>
  <c r="X118" i="13" s="1"/>
  <c r="S118" i="13"/>
  <c r="T122" i="13"/>
  <c r="X122" i="13" s="1"/>
  <c r="S122" i="13"/>
  <c r="T126" i="13"/>
  <c r="S126" i="13"/>
  <c r="T130" i="13"/>
  <c r="X130" i="13" s="1"/>
  <c r="S130" i="13"/>
  <c r="T134" i="13"/>
  <c r="X134" i="13" s="1"/>
  <c r="S134" i="13"/>
  <c r="T138" i="13"/>
  <c r="X138" i="13" s="1"/>
  <c r="S138" i="13"/>
  <c r="T142" i="13"/>
  <c r="S142" i="13"/>
  <c r="T146" i="13"/>
  <c r="X146" i="13" s="1"/>
  <c r="S146" i="13"/>
  <c r="U6" i="13"/>
  <c r="U10" i="13"/>
  <c r="W10" i="13" s="1"/>
  <c r="U18" i="13"/>
  <c r="U22" i="13"/>
  <c r="U26" i="13"/>
  <c r="W26" i="13" s="1"/>
  <c r="U42" i="13"/>
  <c r="W42" i="13" s="1"/>
  <c r="I46" i="13"/>
  <c r="J46" i="13" s="1"/>
  <c r="U50" i="13"/>
  <c r="W50" i="13" s="1"/>
  <c r="U54" i="13"/>
  <c r="U58" i="13"/>
  <c r="I62" i="13"/>
  <c r="J62" i="13" s="1"/>
  <c r="U66" i="13"/>
  <c r="U70" i="13"/>
  <c r="U74" i="13"/>
  <c r="U82" i="13"/>
  <c r="U86" i="13"/>
  <c r="U90" i="13"/>
  <c r="I94" i="13"/>
  <c r="J94" i="13" s="1"/>
  <c r="U98" i="13"/>
  <c r="U102" i="13"/>
  <c r="U106" i="13"/>
  <c r="U114" i="13"/>
  <c r="U118" i="13"/>
  <c r="U122" i="13"/>
  <c r="U130" i="13"/>
  <c r="U134" i="13"/>
  <c r="U138" i="13"/>
  <c r="U146" i="13"/>
  <c r="V7" i="13"/>
  <c r="X7" i="13" s="1"/>
  <c r="V11" i="13"/>
  <c r="V15" i="13"/>
  <c r="V19" i="13"/>
  <c r="V23" i="13"/>
  <c r="X23" i="13" s="1"/>
  <c r="V27" i="13"/>
  <c r="V31" i="13"/>
  <c r="X31" i="13" s="1"/>
  <c r="V35" i="13"/>
  <c r="X35" i="13" s="1"/>
  <c r="V39" i="13"/>
  <c r="V43" i="13"/>
  <c r="X43" i="13" s="1"/>
  <c r="V47" i="13"/>
  <c r="X47" i="13" s="1"/>
  <c r="V51" i="13"/>
  <c r="V55" i="13"/>
  <c r="X55" i="13" s="1"/>
  <c r="V59" i="13"/>
  <c r="X59" i="13" s="1"/>
  <c r="S7" i="13"/>
  <c r="S22" i="13"/>
  <c r="T27" i="13"/>
  <c r="S31" i="13"/>
  <c r="S43" i="13"/>
  <c r="S47" i="13"/>
  <c r="S51" i="13"/>
  <c r="S55" i="13"/>
  <c r="S59" i="13"/>
  <c r="X51" i="13"/>
  <c r="T63" i="13"/>
  <c r="X63" i="13" s="1"/>
  <c r="S63" i="13"/>
  <c r="T67" i="13"/>
  <c r="S67" i="13"/>
  <c r="T71" i="13"/>
  <c r="X71" i="13" s="1"/>
  <c r="S71" i="13"/>
  <c r="T75" i="13"/>
  <c r="X75" i="13" s="1"/>
  <c r="S75" i="13"/>
  <c r="T79" i="13"/>
  <c r="X79" i="13" s="1"/>
  <c r="S79" i="13"/>
  <c r="T83" i="13"/>
  <c r="X83" i="13" s="1"/>
  <c r="S83" i="13"/>
  <c r="T87" i="13"/>
  <c r="X87" i="13" s="1"/>
  <c r="S87" i="13"/>
  <c r="T91" i="13"/>
  <c r="X91" i="13" s="1"/>
  <c r="S91" i="13"/>
  <c r="T95" i="13"/>
  <c r="X95" i="13" s="1"/>
  <c r="S95" i="13"/>
  <c r="T99" i="13"/>
  <c r="X99" i="13" s="1"/>
  <c r="S99" i="13"/>
  <c r="T103" i="13"/>
  <c r="X103" i="13" s="1"/>
  <c r="S103" i="13"/>
  <c r="T107" i="13"/>
  <c r="X107" i="13" s="1"/>
  <c r="S107" i="13"/>
  <c r="T111" i="13"/>
  <c r="X111" i="13" s="1"/>
  <c r="S111" i="13"/>
  <c r="T115" i="13"/>
  <c r="S115" i="13"/>
  <c r="T119" i="13"/>
  <c r="X119" i="13" s="1"/>
  <c r="S119" i="13"/>
  <c r="T123" i="13"/>
  <c r="X123" i="13" s="1"/>
  <c r="S123" i="13"/>
  <c r="T127" i="13"/>
  <c r="X127" i="13" s="1"/>
  <c r="S127" i="13"/>
  <c r="T131" i="13"/>
  <c r="X131" i="13" s="1"/>
  <c r="S131" i="13"/>
  <c r="T135" i="13"/>
  <c r="X135" i="13" s="1"/>
  <c r="S135" i="13"/>
  <c r="T139" i="13"/>
  <c r="X139" i="13" s="1"/>
  <c r="S139" i="13"/>
  <c r="T143" i="13"/>
  <c r="X143" i="13" s="1"/>
  <c r="S143" i="13"/>
  <c r="V147" i="13"/>
  <c r="U147" i="13"/>
  <c r="T147" i="13"/>
  <c r="S147" i="13"/>
  <c r="U7" i="13"/>
  <c r="U11" i="13"/>
  <c r="W11" i="13" s="1"/>
  <c r="U15" i="13"/>
  <c r="W15" i="13" s="1"/>
  <c r="U23" i="13"/>
  <c r="W23" i="13" s="1"/>
  <c r="U27" i="13"/>
  <c r="W27" i="13" s="1"/>
  <c r="U31" i="13"/>
  <c r="U35" i="13"/>
  <c r="W35" i="13" s="1"/>
  <c r="U39" i="13"/>
  <c r="W39" i="13" s="1"/>
  <c r="U43" i="13"/>
  <c r="U47" i="13"/>
  <c r="U51" i="13"/>
  <c r="U55" i="13"/>
  <c r="U59" i="13"/>
  <c r="U63" i="13"/>
  <c r="U67" i="13"/>
  <c r="U71" i="13"/>
  <c r="U75" i="13"/>
  <c r="U79" i="13"/>
  <c r="H83" i="13"/>
  <c r="H91" i="13"/>
  <c r="H95" i="13"/>
  <c r="H107" i="13"/>
  <c r="H111" i="13"/>
  <c r="H115" i="13"/>
  <c r="U123" i="13"/>
  <c r="U127" i="13"/>
  <c r="U131" i="13"/>
  <c r="U135" i="13"/>
  <c r="U139" i="13"/>
  <c r="U143" i="13"/>
  <c r="S6" i="13"/>
  <c r="W6" i="13" s="1"/>
  <c r="T11" i="13"/>
  <c r="T26" i="13"/>
  <c r="G15" i="14"/>
  <c r="G11" i="14"/>
  <c r="G7" i="14"/>
  <c r="M4" i="15"/>
  <c r="D11" i="16"/>
  <c r="F13" i="16"/>
  <c r="J4" i="16"/>
  <c r="J12" i="16"/>
  <c r="G14" i="14"/>
  <c r="G10" i="14"/>
  <c r="G6" i="14"/>
  <c r="M6" i="14"/>
  <c r="M5" i="15"/>
  <c r="M9" i="15"/>
  <c r="M13" i="15"/>
  <c r="M17" i="15"/>
  <c r="M21" i="15"/>
  <c r="M25" i="15"/>
  <c r="M29" i="15"/>
  <c r="M33" i="15"/>
  <c r="M37" i="15"/>
  <c r="M41" i="15"/>
  <c r="M45" i="15"/>
  <c r="M49" i="15"/>
  <c r="M53" i="15"/>
  <c r="M57" i="15"/>
  <c r="J7" i="16"/>
  <c r="G13" i="14"/>
  <c r="G9" i="14"/>
  <c r="G5" i="14"/>
  <c r="S6" i="15"/>
  <c r="D7" i="16"/>
  <c r="E6" i="16" s="1"/>
  <c r="D15" i="16"/>
  <c r="J8" i="16"/>
  <c r="G12" i="14"/>
  <c r="G8" i="14"/>
  <c r="G4" i="14"/>
  <c r="M7" i="15"/>
  <c r="M11" i="15"/>
  <c r="M15" i="15"/>
  <c r="M19" i="15"/>
  <c r="M23" i="15"/>
  <c r="E7" i="16"/>
  <c r="B20" i="16"/>
  <c r="F9" i="16"/>
  <c r="J11" i="16"/>
  <c r="I123" i="12"/>
  <c r="H122" i="12"/>
  <c r="H111" i="12"/>
  <c r="H58" i="12"/>
  <c r="H26" i="12"/>
  <c r="I144" i="12"/>
  <c r="I134" i="12"/>
  <c r="I102" i="12"/>
  <c r="I91" i="12"/>
  <c r="I70" i="12"/>
  <c r="I141" i="12"/>
  <c r="H141" i="12"/>
  <c r="I137" i="12"/>
  <c r="H137" i="12"/>
  <c r="I133" i="12"/>
  <c r="H133" i="12"/>
  <c r="I129" i="12"/>
  <c r="H129" i="12"/>
  <c r="I125" i="12"/>
  <c r="H125" i="12"/>
  <c r="I121" i="12"/>
  <c r="H121" i="12"/>
  <c r="H117" i="12"/>
  <c r="I113" i="12"/>
  <c r="H113" i="12"/>
  <c r="I109" i="12"/>
  <c r="H109" i="12"/>
  <c r="I101" i="12"/>
  <c r="H101" i="12"/>
  <c r="I97" i="12"/>
  <c r="H97" i="12"/>
  <c r="I93" i="12"/>
  <c r="H93" i="12"/>
  <c r="I89" i="12"/>
  <c r="H89" i="12"/>
  <c r="H85" i="12"/>
  <c r="I81" i="12"/>
  <c r="H81" i="12"/>
  <c r="I77" i="12"/>
  <c r="H77" i="12"/>
  <c r="I73" i="12"/>
  <c r="H73" i="12"/>
  <c r="I69" i="12"/>
  <c r="H69" i="12"/>
  <c r="I65" i="12"/>
  <c r="H65" i="12"/>
  <c r="I61" i="12"/>
  <c r="H61" i="12"/>
  <c r="I53" i="12"/>
  <c r="H53" i="12"/>
  <c r="I49" i="12"/>
  <c r="H49" i="12"/>
  <c r="I45" i="12"/>
  <c r="H45" i="12"/>
  <c r="I41" i="12"/>
  <c r="H41" i="12"/>
  <c r="H37" i="12"/>
  <c r="I33" i="12"/>
  <c r="H33" i="12"/>
  <c r="I29" i="12"/>
  <c r="H29" i="12"/>
  <c r="I21" i="12"/>
  <c r="H21" i="12"/>
  <c r="I17" i="12"/>
  <c r="H17" i="12"/>
  <c r="I13" i="12"/>
  <c r="H13" i="12"/>
  <c r="I9" i="12"/>
  <c r="H9" i="12"/>
  <c r="I5" i="12"/>
  <c r="H5" i="12"/>
  <c r="H136" i="12"/>
  <c r="H128" i="12"/>
  <c r="H119" i="12"/>
  <c r="H108" i="12"/>
  <c r="H87" i="12"/>
  <c r="H76" i="12"/>
  <c r="H55" i="12"/>
  <c r="H44" i="12"/>
  <c r="H34" i="12"/>
  <c r="H23" i="12"/>
  <c r="H12" i="12"/>
  <c r="H2" i="12"/>
  <c r="I131" i="12"/>
  <c r="I120" i="12"/>
  <c r="I110" i="12"/>
  <c r="I99" i="12"/>
  <c r="I88" i="12"/>
  <c r="I67" i="12"/>
  <c r="I56" i="12"/>
  <c r="I35" i="12"/>
  <c r="I24" i="12"/>
  <c r="I3" i="12"/>
  <c r="I143" i="12"/>
  <c r="H143" i="12"/>
  <c r="H116" i="12"/>
  <c r="H95" i="12"/>
  <c r="H84" i="12"/>
  <c r="H63" i="12"/>
  <c r="H52" i="12"/>
  <c r="H42" i="12"/>
  <c r="H31" i="12"/>
  <c r="H20" i="12"/>
  <c r="H10" i="12"/>
  <c r="I139" i="12"/>
  <c r="I118" i="12"/>
  <c r="I107" i="12"/>
  <c r="I96" i="12"/>
  <c r="I86" i="12"/>
  <c r="I75" i="12"/>
  <c r="I64" i="12"/>
  <c r="I43" i="12"/>
  <c r="I32" i="12"/>
  <c r="I11" i="12"/>
  <c r="I135" i="12"/>
  <c r="H135" i="12"/>
  <c r="I127" i="12"/>
  <c r="H127" i="12"/>
  <c r="H140" i="12"/>
  <c r="H132" i="12"/>
  <c r="H124" i="12"/>
  <c r="H103" i="12"/>
  <c r="H92" i="12"/>
  <c r="H71" i="12"/>
  <c r="H60" i="12"/>
  <c r="H50" i="12"/>
  <c r="H39" i="12"/>
  <c r="H28" i="12"/>
  <c r="H18" i="12"/>
  <c r="H7" i="12"/>
  <c r="I115" i="12"/>
  <c r="I104" i="12"/>
  <c r="I83" i="12"/>
  <c r="I72" i="12"/>
  <c r="I62" i="12"/>
  <c r="I51" i="12"/>
  <c r="I40" i="12"/>
  <c r="I19" i="12"/>
  <c r="I8" i="12"/>
  <c r="I14" i="13"/>
  <c r="J14" i="13" s="1"/>
  <c r="I34" i="13"/>
  <c r="J34" i="13" s="1"/>
  <c r="H34" i="13"/>
  <c r="H66" i="13"/>
  <c r="I98" i="13"/>
  <c r="J98" i="13" s="1"/>
  <c r="H130" i="13"/>
  <c r="H146" i="13"/>
  <c r="G23" i="16"/>
  <c r="K16" i="16"/>
  <c r="B21" i="16"/>
  <c r="F7" i="16"/>
  <c r="F11" i="16"/>
  <c r="F15" i="16"/>
  <c r="G22" i="16"/>
  <c r="J5" i="16"/>
  <c r="J9" i="16"/>
  <c r="J13" i="16"/>
  <c r="E8" i="16"/>
  <c r="F6" i="16"/>
  <c r="F10" i="16"/>
  <c r="F14" i="16"/>
  <c r="E5" i="16"/>
  <c r="D14" i="16"/>
  <c r="F8" i="16"/>
  <c r="F12" i="16"/>
  <c r="E10" i="16"/>
  <c r="E13" i="16"/>
  <c r="E9" i="16"/>
  <c r="E11" i="16"/>
  <c r="E12" i="16"/>
  <c r="E14" i="16"/>
  <c r="L48" i="15"/>
  <c r="L36" i="15"/>
  <c r="L28" i="15"/>
  <c r="L20" i="15"/>
  <c r="L8" i="15"/>
  <c r="L59" i="15"/>
  <c r="L55" i="15"/>
  <c r="L51" i="15"/>
  <c r="L47" i="15"/>
  <c r="L43" i="15"/>
  <c r="L39" i="15"/>
  <c r="L35" i="15"/>
  <c r="L31" i="15"/>
  <c r="L27" i="15"/>
  <c r="L23" i="15"/>
  <c r="L19" i="15"/>
  <c r="L15" i="15"/>
  <c r="L11" i="15"/>
  <c r="L7" i="15"/>
  <c r="L52" i="15"/>
  <c r="L40" i="15"/>
  <c r="L24" i="15"/>
  <c r="L16" i="15"/>
  <c r="L12" i="15"/>
  <c r="L58" i="15"/>
  <c r="L54" i="15"/>
  <c r="L50" i="15"/>
  <c r="L46" i="15"/>
  <c r="L42" i="15"/>
  <c r="L38" i="15"/>
  <c r="L34" i="15"/>
  <c r="L30" i="15"/>
  <c r="L26" i="15"/>
  <c r="L22" i="15"/>
  <c r="L18" i="15"/>
  <c r="L14" i="15"/>
  <c r="L10" i="15"/>
  <c r="L6" i="15"/>
  <c r="L56" i="15"/>
  <c r="L44" i="15"/>
  <c r="L32" i="15"/>
  <c r="L4" i="15"/>
  <c r="L57" i="15"/>
  <c r="L53" i="15"/>
  <c r="L49" i="15"/>
  <c r="L45" i="15"/>
  <c r="L41" i="15"/>
  <c r="L37" i="15"/>
  <c r="L33" i="15"/>
  <c r="L29" i="15"/>
  <c r="L25" i="15"/>
  <c r="L21" i="15"/>
  <c r="L17" i="15"/>
  <c r="L13" i="15"/>
  <c r="L9" i="15"/>
  <c r="L5" i="15"/>
  <c r="K58" i="15"/>
  <c r="K54" i="15"/>
  <c r="K46" i="15"/>
  <c r="K30" i="15"/>
  <c r="K18" i="15"/>
  <c r="K6" i="15"/>
  <c r="K57" i="15"/>
  <c r="K53" i="15"/>
  <c r="K49" i="15"/>
  <c r="K45" i="15"/>
  <c r="K41" i="15"/>
  <c r="K37" i="15"/>
  <c r="K33" i="15"/>
  <c r="K29" i="15"/>
  <c r="K25" i="15"/>
  <c r="K21" i="15"/>
  <c r="K17" i="15"/>
  <c r="K13" i="15"/>
  <c r="K9" i="15"/>
  <c r="K5" i="15"/>
  <c r="K42" i="15"/>
  <c r="K34" i="15"/>
  <c r="K22" i="15"/>
  <c r="K10" i="15"/>
  <c r="H56" i="15"/>
  <c r="K52" i="15"/>
  <c r="H48" i="15"/>
  <c r="K44" i="15"/>
  <c r="K40" i="15"/>
  <c r="K36" i="15"/>
  <c r="H32" i="15"/>
  <c r="K28" i="15"/>
  <c r="H24" i="15"/>
  <c r="K20" i="15"/>
  <c r="K16" i="15"/>
  <c r="H12" i="15"/>
  <c r="K8" i="15"/>
  <c r="K50" i="15"/>
  <c r="K38" i="15"/>
  <c r="K26" i="15"/>
  <c r="K14" i="15"/>
  <c r="K59" i="15"/>
  <c r="K55" i="15"/>
  <c r="K51" i="15"/>
  <c r="K47" i="15"/>
  <c r="K43" i="15"/>
  <c r="K39" i="15"/>
  <c r="K35" i="15"/>
  <c r="K31" i="15"/>
  <c r="K27" i="15"/>
  <c r="K23" i="15"/>
  <c r="K19" i="15"/>
  <c r="K15" i="15"/>
  <c r="K11" i="15"/>
  <c r="K7" i="15"/>
  <c r="H52" i="15"/>
  <c r="H44" i="15"/>
  <c r="H36" i="15"/>
  <c r="H28" i="15"/>
  <c r="H20" i="15"/>
  <c r="H16" i="15"/>
  <c r="H8" i="15"/>
  <c r="H4" i="15"/>
  <c r="K56" i="15"/>
  <c r="K32" i="15"/>
  <c r="K24" i="15"/>
  <c r="K12" i="15"/>
  <c r="K4" i="15"/>
  <c r="H57" i="15"/>
  <c r="H53" i="15"/>
  <c r="H49" i="15"/>
  <c r="H45" i="15"/>
  <c r="H41" i="15"/>
  <c r="H37" i="15"/>
  <c r="H33" i="15"/>
  <c r="H29" i="15"/>
  <c r="H25" i="15"/>
  <c r="H21" i="15"/>
  <c r="H17" i="15"/>
  <c r="H13" i="15"/>
  <c r="H9" i="15"/>
  <c r="H5" i="15"/>
  <c r="K48" i="15"/>
  <c r="H59" i="15"/>
  <c r="H55" i="15"/>
  <c r="H51" i="15"/>
  <c r="H47" i="15"/>
  <c r="H43" i="15"/>
  <c r="H39" i="15"/>
  <c r="H35" i="15"/>
  <c r="H31" i="15"/>
  <c r="H27" i="15"/>
  <c r="H23" i="15"/>
  <c r="H19" i="15"/>
  <c r="H15" i="15"/>
  <c r="H11" i="15"/>
  <c r="H7" i="15"/>
  <c r="H40" i="15"/>
  <c r="H58" i="15"/>
  <c r="H54" i="15"/>
  <c r="H50" i="15"/>
  <c r="H46" i="15"/>
  <c r="H42" i="15"/>
  <c r="H38" i="15"/>
  <c r="H34" i="15"/>
  <c r="H30" i="15"/>
  <c r="H26" i="15"/>
  <c r="H22" i="15"/>
  <c r="H18" i="15"/>
  <c r="H14" i="15"/>
  <c r="H10" i="15"/>
  <c r="H6" i="15"/>
  <c r="Q7" i="15" l="1"/>
  <c r="O6" i="15"/>
  <c r="O13" i="15"/>
  <c r="P7" i="15"/>
  <c r="Q12" i="15"/>
  <c r="O8" i="15"/>
  <c r="P6" i="15"/>
  <c r="Q14" i="15"/>
  <c r="Q5" i="15"/>
  <c r="P13" i="15"/>
  <c r="Q9" i="15"/>
  <c r="Q6" i="15"/>
  <c r="O12" i="15"/>
  <c r="Q11" i="15"/>
  <c r="P11" i="15"/>
  <c r="Q10" i="15"/>
  <c r="P5" i="15"/>
  <c r="P10" i="15"/>
  <c r="O5" i="15"/>
  <c r="O10" i="15"/>
  <c r="O7" i="15"/>
  <c r="P9" i="15"/>
  <c r="P14" i="15"/>
  <c r="O9" i="15"/>
  <c r="O14" i="15"/>
  <c r="Q8" i="15"/>
  <c r="A7" i="7"/>
  <c r="G6" i="7"/>
  <c r="H6" i="7" s="1"/>
  <c r="C6" i="7"/>
  <c r="F6" i="7"/>
  <c r="K6" i="7"/>
  <c r="E6" i="7"/>
  <c r="J6" i="7"/>
  <c r="D6" i="7"/>
  <c r="I6" i="7"/>
  <c r="B6" i="7"/>
  <c r="P9" i="14"/>
  <c r="X14" i="13"/>
  <c r="W64" i="13"/>
  <c r="H98" i="13"/>
  <c r="I61" i="13"/>
  <c r="J61" i="13" s="1"/>
  <c r="W41" i="13"/>
  <c r="H139" i="13"/>
  <c r="W37" i="13"/>
  <c r="X56" i="13"/>
  <c r="X48" i="13"/>
  <c r="X36" i="13"/>
  <c r="H106" i="12"/>
  <c r="H130" i="12"/>
  <c r="H57" i="12"/>
  <c r="H105" i="12"/>
  <c r="H114" i="12"/>
  <c r="H25" i="12"/>
  <c r="H145" i="12"/>
  <c r="H82" i="12"/>
  <c r="H98" i="12"/>
  <c r="H54" i="12"/>
  <c r="H46" i="12"/>
  <c r="H38" i="12"/>
  <c r="H30" i="12"/>
  <c r="H22" i="12"/>
  <c r="H14" i="12"/>
  <c r="H6" i="12"/>
  <c r="I30" i="12"/>
  <c r="I22" i="12"/>
  <c r="I78" i="12"/>
  <c r="H74" i="12"/>
  <c r="I46" i="12"/>
  <c r="H66" i="12"/>
  <c r="I6" i="12"/>
  <c r="H90" i="12"/>
  <c r="H138" i="12"/>
  <c r="I58" i="12"/>
  <c r="I50" i="12"/>
  <c r="I42" i="12"/>
  <c r="I34" i="12"/>
  <c r="I26" i="12"/>
  <c r="I18" i="12"/>
  <c r="I10" i="12"/>
  <c r="I94" i="12"/>
  <c r="H126" i="12"/>
  <c r="I14" i="12"/>
  <c r="I142" i="12"/>
  <c r="I139" i="13"/>
  <c r="J139" i="13" s="1"/>
  <c r="I75" i="13"/>
  <c r="J75" i="13" s="1"/>
  <c r="I19" i="13"/>
  <c r="J19" i="13" s="1"/>
  <c r="H22" i="13"/>
  <c r="H37" i="13"/>
  <c r="H120" i="13"/>
  <c r="I8" i="13"/>
  <c r="J8" i="13" s="1"/>
  <c r="H128" i="13"/>
  <c r="I80" i="13"/>
  <c r="J80" i="13" s="1"/>
  <c r="H69" i="13"/>
  <c r="I52" i="13"/>
  <c r="J52" i="13" s="1"/>
  <c r="H20" i="13"/>
  <c r="H80" i="13"/>
  <c r="H41" i="13"/>
  <c r="I69" i="13"/>
  <c r="J69" i="13" s="1"/>
  <c r="H74" i="13"/>
  <c r="I120" i="13"/>
  <c r="J120" i="13" s="1"/>
  <c r="I37" i="13"/>
  <c r="J37" i="13" s="1"/>
  <c r="X19" i="13"/>
  <c r="W32" i="13"/>
  <c r="H40" i="13"/>
  <c r="H144" i="13"/>
  <c r="I145" i="13"/>
  <c r="J145" i="13" s="1"/>
  <c r="I144" i="13"/>
  <c r="J144" i="13" s="1"/>
  <c r="I104" i="13"/>
  <c r="J104" i="13" s="1"/>
  <c r="H8" i="13"/>
  <c r="H49" i="13"/>
  <c r="I5" i="13"/>
  <c r="J5" i="13" s="1"/>
  <c r="X15" i="13"/>
  <c r="H68" i="13"/>
  <c r="W57" i="13"/>
  <c r="X147" i="13"/>
  <c r="H123" i="13"/>
  <c r="H106" i="13"/>
  <c r="W139" i="13"/>
  <c r="W123" i="13"/>
  <c r="W75" i="13"/>
  <c r="H129" i="13"/>
  <c r="H138" i="13"/>
  <c r="H141" i="13"/>
  <c r="I92" i="13"/>
  <c r="J92" i="13" s="1"/>
  <c r="I51" i="13"/>
  <c r="J51" i="13" s="1"/>
  <c r="I49" i="13"/>
  <c r="J49" i="13" s="1"/>
  <c r="I13" i="13"/>
  <c r="J13" i="13" s="1"/>
  <c r="W29" i="13"/>
  <c r="H101" i="13"/>
  <c r="X104" i="13"/>
  <c r="W49" i="13"/>
  <c r="I17" i="13"/>
  <c r="J17" i="13" s="1"/>
  <c r="H109" i="13"/>
  <c r="H42" i="13"/>
  <c r="H64" i="13"/>
  <c r="I116" i="13"/>
  <c r="J116" i="13" s="1"/>
  <c r="H92" i="13"/>
  <c r="H114" i="13"/>
  <c r="H82" i="13"/>
  <c r="I38" i="13"/>
  <c r="J38" i="13" s="1"/>
  <c r="H6" i="13"/>
  <c r="H145" i="13"/>
  <c r="I128" i="13"/>
  <c r="J128" i="13" s="1"/>
  <c r="H104" i="13"/>
  <c r="H19" i="13"/>
  <c r="I110" i="13"/>
  <c r="J110" i="13" s="1"/>
  <c r="I124" i="13"/>
  <c r="J124" i="13" s="1"/>
  <c r="X120" i="13"/>
  <c r="I22" i="13"/>
  <c r="J22" i="13" s="1"/>
  <c r="I16" i="13"/>
  <c r="J16" i="13" s="1"/>
  <c r="H17" i="13"/>
  <c r="W18" i="13"/>
  <c r="W109" i="13"/>
  <c r="X10" i="13"/>
  <c r="W14" i="13"/>
  <c r="H48" i="13"/>
  <c r="I30" i="13"/>
  <c r="J30" i="13" s="1"/>
  <c r="W147" i="13"/>
  <c r="X39" i="13"/>
  <c r="H38" i="13"/>
  <c r="H26" i="13"/>
  <c r="I142" i="13"/>
  <c r="J142" i="13" s="1"/>
  <c r="I81" i="13"/>
  <c r="J81" i="13" s="1"/>
  <c r="I57" i="13"/>
  <c r="J57" i="13" s="1"/>
  <c r="X26" i="13"/>
  <c r="W22" i="13"/>
  <c r="X142" i="13"/>
  <c r="X110" i="13"/>
  <c r="H56" i="13"/>
  <c r="H67" i="13"/>
  <c r="W54" i="13"/>
  <c r="H100" i="13"/>
  <c r="I4" i="13"/>
  <c r="J4" i="13" s="1"/>
  <c r="H136" i="13"/>
  <c r="X44" i="13"/>
  <c r="W33" i="13"/>
  <c r="U48" i="13"/>
  <c r="W48" i="13" s="1"/>
  <c r="X126" i="13"/>
  <c r="X78" i="13"/>
  <c r="X62" i="13"/>
  <c r="W16" i="13"/>
  <c r="X141" i="13"/>
  <c r="X129" i="13"/>
  <c r="W17" i="13"/>
  <c r="I126" i="13"/>
  <c r="J126" i="13" s="1"/>
  <c r="H96" i="13"/>
  <c r="H44" i="13"/>
  <c r="I118" i="13"/>
  <c r="J118" i="13" s="1"/>
  <c r="I54" i="13"/>
  <c r="J54" i="13" s="1"/>
  <c r="I78" i="13"/>
  <c r="J78" i="13" s="1"/>
  <c r="I76" i="13"/>
  <c r="J76" i="13" s="1"/>
  <c r="I67" i="13"/>
  <c r="J67" i="13" s="1"/>
  <c r="I39" i="13"/>
  <c r="J39" i="13" s="1"/>
  <c r="H29" i="13"/>
  <c r="H33" i="13"/>
  <c r="I127" i="13"/>
  <c r="J127" i="13" s="1"/>
  <c r="H125" i="13"/>
  <c r="H50" i="13"/>
  <c r="H75" i="13"/>
  <c r="H51" i="13"/>
  <c r="H35" i="13"/>
  <c r="I25" i="13"/>
  <c r="J25" i="13" s="1"/>
  <c r="H81" i="13"/>
  <c r="H65" i="13"/>
  <c r="H13" i="13"/>
  <c r="H14" i="13"/>
  <c r="W24" i="13"/>
  <c r="X8" i="13"/>
  <c r="X117" i="13"/>
  <c r="X109" i="13"/>
  <c r="W145" i="13"/>
  <c r="W13" i="13"/>
  <c r="I24" i="13"/>
  <c r="J24" i="13" s="1"/>
  <c r="W141" i="13"/>
  <c r="X45" i="13"/>
  <c r="I147" i="13"/>
  <c r="J147" i="13" s="1"/>
  <c r="X115" i="13"/>
  <c r="H143" i="13"/>
  <c r="I131" i="13"/>
  <c r="J131" i="13" s="1"/>
  <c r="I123" i="13"/>
  <c r="J123" i="13" s="1"/>
  <c r="I130" i="13"/>
  <c r="J130" i="13" s="1"/>
  <c r="I86" i="13"/>
  <c r="J86" i="13" s="1"/>
  <c r="I66" i="13"/>
  <c r="J66" i="13" s="1"/>
  <c r="H10" i="13"/>
  <c r="I100" i="13"/>
  <c r="J100" i="13" s="1"/>
  <c r="N16" i="13"/>
  <c r="H4" i="13"/>
  <c r="H63" i="13"/>
  <c r="I31" i="13"/>
  <c r="J31" i="13" s="1"/>
  <c r="I15" i="13"/>
  <c r="J15" i="13" s="1"/>
  <c r="I45" i="13"/>
  <c r="J45" i="13" s="1"/>
  <c r="I77" i="13"/>
  <c r="J77" i="13" s="1"/>
  <c r="X11" i="13"/>
  <c r="W143" i="13"/>
  <c r="W127" i="13"/>
  <c r="W79" i="13"/>
  <c r="W63" i="13"/>
  <c r="W117" i="13"/>
  <c r="X73" i="13"/>
  <c r="I48" i="13"/>
  <c r="J48" i="13" s="1"/>
  <c r="X81" i="13"/>
  <c r="W21" i="13"/>
  <c r="I109" i="13"/>
  <c r="J109" i="13" s="1"/>
  <c r="X53" i="13"/>
  <c r="H86" i="13"/>
  <c r="H121" i="13"/>
  <c r="I141" i="13"/>
  <c r="J141" i="13" s="1"/>
  <c r="H45" i="13"/>
  <c r="I53" i="13"/>
  <c r="J53" i="13" s="1"/>
  <c r="I143" i="13"/>
  <c r="J143" i="13" s="1"/>
  <c r="H127" i="13"/>
  <c r="H118" i="13"/>
  <c r="H54" i="13"/>
  <c r="I10" i="13"/>
  <c r="J10" i="13" s="1"/>
  <c r="N20" i="13"/>
  <c r="N14" i="13"/>
  <c r="H79" i="13"/>
  <c r="H59" i="13"/>
  <c r="I47" i="13"/>
  <c r="J47" i="13" s="1"/>
  <c r="I23" i="13"/>
  <c r="J23" i="13" s="1"/>
  <c r="I7" i="13"/>
  <c r="J7" i="13" s="1"/>
  <c r="H25" i="13"/>
  <c r="H57" i="13"/>
  <c r="I21" i="13"/>
  <c r="J21" i="13" s="1"/>
  <c r="W31" i="13"/>
  <c r="W58" i="13"/>
  <c r="X144" i="13"/>
  <c r="X132" i="13"/>
  <c r="W124" i="13"/>
  <c r="X92" i="13"/>
  <c r="X80" i="13"/>
  <c r="X68" i="13"/>
  <c r="X20" i="13"/>
  <c r="I64" i="13"/>
  <c r="J64" i="13" s="1"/>
  <c r="W81" i="13"/>
  <c r="I87" i="13"/>
  <c r="J87" i="13" s="1"/>
  <c r="U87" i="13"/>
  <c r="W87" i="13" s="1"/>
  <c r="W71" i="13"/>
  <c r="W55" i="13"/>
  <c r="O15" i="13"/>
  <c r="V52" i="13"/>
  <c r="X52" i="13" s="1"/>
  <c r="I105" i="13"/>
  <c r="J105" i="13" s="1"/>
  <c r="U105" i="13"/>
  <c r="W105" i="13" s="1"/>
  <c r="X61" i="13"/>
  <c r="I74" i="13"/>
  <c r="J74" i="13" s="1"/>
  <c r="N18" i="13"/>
  <c r="I29" i="13"/>
  <c r="J29" i="13" s="1"/>
  <c r="O11" i="13"/>
  <c r="I115" i="13"/>
  <c r="J115" i="13" s="1"/>
  <c r="U115" i="13"/>
  <c r="W115" i="13" s="1"/>
  <c r="W51" i="13"/>
  <c r="H30" i="13"/>
  <c r="U30" i="13"/>
  <c r="W30" i="13" s="1"/>
  <c r="W134" i="13"/>
  <c r="W86" i="13"/>
  <c r="H132" i="13"/>
  <c r="U132" i="13"/>
  <c r="W132" i="13" s="1"/>
  <c r="I36" i="13"/>
  <c r="J36" i="13" s="1"/>
  <c r="U36" i="13"/>
  <c r="W36" i="13" s="1"/>
  <c r="X96" i="13"/>
  <c r="W76" i="13"/>
  <c r="X60" i="13"/>
  <c r="X12" i="13"/>
  <c r="I97" i="13"/>
  <c r="J97" i="13" s="1"/>
  <c r="U97" i="13"/>
  <c r="O16" i="13"/>
  <c r="I125" i="13"/>
  <c r="J125" i="13" s="1"/>
  <c r="U125" i="13"/>
  <c r="W125" i="13" s="1"/>
  <c r="W97" i="13"/>
  <c r="I103" i="13"/>
  <c r="J103" i="13" s="1"/>
  <c r="U103" i="13"/>
  <c r="W103" i="13" s="1"/>
  <c r="I44" i="13"/>
  <c r="J44" i="13" s="1"/>
  <c r="U44" i="13"/>
  <c r="W44" i="13" s="1"/>
  <c r="O13" i="13"/>
  <c r="V28" i="13"/>
  <c r="X28" i="13" s="1"/>
  <c r="I133" i="13"/>
  <c r="J133" i="13" s="1"/>
  <c r="U133" i="13"/>
  <c r="W133" i="13" s="1"/>
  <c r="I42" i="13"/>
  <c r="J42" i="13" s="1"/>
  <c r="N17" i="13"/>
  <c r="I28" i="13"/>
  <c r="J28" i="13" s="1"/>
  <c r="I59" i="13"/>
  <c r="J59" i="13" s="1"/>
  <c r="H43" i="13"/>
  <c r="I83" i="13"/>
  <c r="J83" i="13" s="1"/>
  <c r="U83" i="13"/>
  <c r="W83" i="13" s="1"/>
  <c r="W118" i="13"/>
  <c r="X9" i="13"/>
  <c r="I68" i="13"/>
  <c r="J68" i="13" s="1"/>
  <c r="U68" i="13"/>
  <c r="W68" i="13" s="1"/>
  <c r="O19" i="13"/>
  <c r="V100" i="13"/>
  <c r="X100" i="13" s="1"/>
  <c r="O18" i="13"/>
  <c r="V88" i="13"/>
  <c r="X88" i="13" s="1"/>
  <c r="N5" i="13"/>
  <c r="V4" i="13"/>
  <c r="X4" i="13" s="1"/>
  <c r="H117" i="13"/>
  <c r="H24" i="13"/>
  <c r="I135" i="13"/>
  <c r="J135" i="13" s="1"/>
  <c r="I84" i="13"/>
  <c r="J84" i="13" s="1"/>
  <c r="H76" i="13"/>
  <c r="H134" i="13"/>
  <c r="H90" i="13"/>
  <c r="H70" i="13"/>
  <c r="H105" i="13"/>
  <c r="H133" i="13"/>
  <c r="H36" i="13"/>
  <c r="H140" i="13"/>
  <c r="N19" i="13"/>
  <c r="N13" i="13"/>
  <c r="H12" i="13"/>
  <c r="H71" i="13"/>
  <c r="I35" i="13"/>
  <c r="J35" i="13" s="1"/>
  <c r="I27" i="13"/>
  <c r="J27" i="13" s="1"/>
  <c r="I11" i="13"/>
  <c r="J11" i="13" s="1"/>
  <c r="I111" i="13"/>
  <c r="J111" i="13" s="1"/>
  <c r="U111" i="13"/>
  <c r="W111" i="13" s="1"/>
  <c r="W47" i="13"/>
  <c r="X24" i="13"/>
  <c r="I60" i="13"/>
  <c r="J60" i="13" s="1"/>
  <c r="U60" i="13"/>
  <c r="W60" i="13" s="1"/>
  <c r="X136" i="13"/>
  <c r="X112" i="13"/>
  <c r="W92" i="13"/>
  <c r="O17" i="13"/>
  <c r="V76" i="13"/>
  <c r="X76" i="13" s="1"/>
  <c r="X72" i="13"/>
  <c r="X32" i="13"/>
  <c r="W4" i="13"/>
  <c r="I121" i="13"/>
  <c r="J121" i="13" s="1"/>
  <c r="U121" i="13"/>
  <c r="W121" i="13" s="1"/>
  <c r="I89" i="13"/>
  <c r="J89" i="13" s="1"/>
  <c r="U89" i="13"/>
  <c r="W89" i="13" s="1"/>
  <c r="W65" i="13"/>
  <c r="W5" i="13"/>
  <c r="I101" i="13"/>
  <c r="J101" i="13" s="1"/>
  <c r="U101" i="13"/>
  <c r="W101" i="13" s="1"/>
  <c r="X101" i="13"/>
  <c r="X93" i="13"/>
  <c r="O22" i="13"/>
  <c r="V137" i="13"/>
  <c r="X137" i="13" s="1"/>
  <c r="I72" i="13"/>
  <c r="J72" i="13" s="1"/>
  <c r="I56" i="13"/>
  <c r="J56" i="13" s="1"/>
  <c r="I32" i="13"/>
  <c r="J32" i="13" s="1"/>
  <c r="X89" i="13"/>
  <c r="X85" i="13"/>
  <c r="X77" i="13"/>
  <c r="X21" i="13"/>
  <c r="I117" i="13"/>
  <c r="J117" i="13" s="1"/>
  <c r="I119" i="13"/>
  <c r="J119" i="13" s="1"/>
  <c r="U119" i="13"/>
  <c r="W119" i="13" s="1"/>
  <c r="W135" i="13"/>
  <c r="H137" i="13"/>
  <c r="U137" i="13"/>
  <c r="W137" i="13" s="1"/>
  <c r="H93" i="13"/>
  <c r="H135" i="13"/>
  <c r="H28" i="13"/>
  <c r="I138" i="13"/>
  <c r="J138" i="13" s="1"/>
  <c r="I106" i="13"/>
  <c r="J106" i="13" s="1"/>
  <c r="I137" i="13"/>
  <c r="J137" i="13" s="1"/>
  <c r="H103" i="13"/>
  <c r="H52" i="13"/>
  <c r="I136" i="13"/>
  <c r="J136" i="13" s="1"/>
  <c r="I108" i="13"/>
  <c r="J108" i="13" s="1"/>
  <c r="N12" i="13"/>
  <c r="H27" i="13"/>
  <c r="H11" i="13"/>
  <c r="I41" i="13"/>
  <c r="J41" i="13" s="1"/>
  <c r="H73" i="13"/>
  <c r="I99" i="13"/>
  <c r="J99" i="13" s="1"/>
  <c r="U99" i="13"/>
  <c r="W99" i="13" s="1"/>
  <c r="X27" i="13"/>
  <c r="W102" i="13"/>
  <c r="W70" i="13"/>
  <c r="W140" i="13"/>
  <c r="O21" i="13"/>
  <c r="V124" i="13"/>
  <c r="X124" i="13" s="1"/>
  <c r="X108" i="13"/>
  <c r="X84" i="13"/>
  <c r="I129" i="13"/>
  <c r="J129" i="13" s="1"/>
  <c r="U129" i="13"/>
  <c r="W129" i="13" s="1"/>
  <c r="X121" i="13"/>
  <c r="I132" i="13"/>
  <c r="J132" i="13" s="1"/>
  <c r="H85" i="13"/>
  <c r="H122" i="13"/>
  <c r="H102" i="13"/>
  <c r="H58" i="13"/>
  <c r="H18" i="13"/>
  <c r="N22" i="13"/>
  <c r="H124" i="13"/>
  <c r="I112" i="13"/>
  <c r="J112" i="13" s="1"/>
  <c r="H108" i="13"/>
  <c r="N15" i="13"/>
  <c r="N11" i="13"/>
  <c r="H55" i="13"/>
  <c r="I43" i="13"/>
  <c r="J43" i="13" s="1"/>
  <c r="H9" i="13"/>
  <c r="I73" i="13"/>
  <c r="J73" i="13" s="1"/>
  <c r="I65" i="13"/>
  <c r="J65" i="13" s="1"/>
  <c r="I33" i="13"/>
  <c r="J33" i="13" s="1"/>
  <c r="G148" i="13"/>
  <c r="I95" i="13"/>
  <c r="J95" i="13" s="1"/>
  <c r="U95" i="13"/>
  <c r="W95" i="13" s="1"/>
  <c r="W131" i="13"/>
  <c r="W67" i="13"/>
  <c r="H72" i="13"/>
  <c r="H147" i="13"/>
  <c r="H131" i="13"/>
  <c r="H99" i="13"/>
  <c r="H60" i="13"/>
  <c r="I146" i="13"/>
  <c r="J146" i="13" s="1"/>
  <c r="I134" i="13"/>
  <c r="J134" i="13" s="1"/>
  <c r="I122" i="13"/>
  <c r="J122" i="13" s="1"/>
  <c r="I114" i="13"/>
  <c r="J114" i="13" s="1"/>
  <c r="I102" i="13"/>
  <c r="J102" i="13" s="1"/>
  <c r="I90" i="13"/>
  <c r="J90" i="13" s="1"/>
  <c r="I82" i="13"/>
  <c r="J82" i="13" s="1"/>
  <c r="I70" i="13"/>
  <c r="J70" i="13" s="1"/>
  <c r="I58" i="13"/>
  <c r="J58" i="13" s="1"/>
  <c r="I50" i="13"/>
  <c r="J50" i="13" s="1"/>
  <c r="I26" i="13"/>
  <c r="J26" i="13" s="1"/>
  <c r="I18" i="13"/>
  <c r="J18" i="13" s="1"/>
  <c r="I6" i="13"/>
  <c r="J6" i="13" s="1"/>
  <c r="H97" i="13"/>
  <c r="H32" i="13"/>
  <c r="H119" i="13"/>
  <c r="H87" i="13"/>
  <c r="I140" i="13"/>
  <c r="J140" i="13" s="1"/>
  <c r="N21" i="13"/>
  <c r="H112" i="13"/>
  <c r="I96" i="13"/>
  <c r="J96" i="13" s="1"/>
  <c r="H88" i="13"/>
  <c r="H16" i="13"/>
  <c r="I12" i="13"/>
  <c r="J12" i="13" s="1"/>
  <c r="I79" i="13"/>
  <c r="J79" i="13" s="1"/>
  <c r="I71" i="13"/>
  <c r="J71" i="13" s="1"/>
  <c r="N4" i="13"/>
  <c r="I63" i="13"/>
  <c r="J63" i="13" s="1"/>
  <c r="I55" i="13"/>
  <c r="J55" i="13" s="1"/>
  <c r="H47" i="13"/>
  <c r="H39" i="13"/>
  <c r="H31" i="13"/>
  <c r="H23" i="13"/>
  <c r="H15" i="13"/>
  <c r="H7" i="13"/>
  <c r="I9" i="13"/>
  <c r="J9" i="13" s="1"/>
  <c r="H77" i="13"/>
  <c r="H61" i="13"/>
  <c r="H53" i="13"/>
  <c r="H21" i="13"/>
  <c r="H5" i="13"/>
  <c r="F148" i="13"/>
  <c r="I107" i="13"/>
  <c r="J107" i="13" s="1"/>
  <c r="U107" i="13"/>
  <c r="W107" i="13" s="1"/>
  <c r="I91" i="13"/>
  <c r="J91" i="13" s="1"/>
  <c r="U91" i="13"/>
  <c r="W91" i="13" s="1"/>
  <c r="X67" i="13"/>
  <c r="W59" i="13"/>
  <c r="W43" i="13"/>
  <c r="W7" i="13"/>
  <c r="H142" i="13"/>
  <c r="U142" i="13"/>
  <c r="W142" i="13" s="1"/>
  <c r="H126" i="13"/>
  <c r="U126" i="13"/>
  <c r="W126" i="13" s="1"/>
  <c r="H110" i="13"/>
  <c r="U110" i="13"/>
  <c r="W110" i="13" s="1"/>
  <c r="H94" i="13"/>
  <c r="U94" i="13"/>
  <c r="W94" i="13" s="1"/>
  <c r="H78" i="13"/>
  <c r="U78" i="13"/>
  <c r="W78" i="13" s="1"/>
  <c r="H62" i="13"/>
  <c r="U62" i="13"/>
  <c r="W62" i="13" s="1"/>
  <c r="H46" i="13"/>
  <c r="U46" i="13"/>
  <c r="W46" i="13" s="1"/>
  <c r="W146" i="13"/>
  <c r="W138" i="13"/>
  <c r="W130" i="13"/>
  <c r="W122" i="13"/>
  <c r="W114" i="13"/>
  <c r="W106" i="13"/>
  <c r="W98" i="13"/>
  <c r="W90" i="13"/>
  <c r="W82" i="13"/>
  <c r="W74" i="13"/>
  <c r="W66" i="13"/>
  <c r="H116" i="13"/>
  <c r="U116" i="13"/>
  <c r="W116" i="13" s="1"/>
  <c r="H84" i="13"/>
  <c r="U84" i="13"/>
  <c r="W84" i="13" s="1"/>
  <c r="I20" i="13"/>
  <c r="J20" i="13" s="1"/>
  <c r="U20" i="13"/>
  <c r="W20" i="13" s="1"/>
  <c r="X140" i="13"/>
  <c r="X128" i="13"/>
  <c r="X116" i="13"/>
  <c r="W108" i="13"/>
  <c r="X64" i="13"/>
  <c r="O14" i="13"/>
  <c r="V40" i="13"/>
  <c r="X40" i="13" s="1"/>
  <c r="W12" i="13"/>
  <c r="I113" i="13"/>
  <c r="J113" i="13" s="1"/>
  <c r="U113" i="13"/>
  <c r="W113" i="13" s="1"/>
  <c r="X69" i="13"/>
  <c r="O20" i="13"/>
  <c r="I85" i="13"/>
  <c r="J85" i="13" s="1"/>
  <c r="U85" i="13"/>
  <c r="W85" i="13" s="1"/>
  <c r="W93" i="13"/>
  <c r="O12" i="13"/>
  <c r="V17" i="13"/>
  <c r="X17" i="13" s="1"/>
  <c r="X25" i="13"/>
  <c r="X133" i="13"/>
  <c r="X125" i="13"/>
  <c r="W77" i="13"/>
  <c r="I93" i="13"/>
  <c r="J93" i="13" s="1"/>
  <c r="Q13" i="15"/>
  <c r="P8" i="15"/>
  <c r="O11" i="15"/>
  <c r="P12" i="15"/>
  <c r="G24" i="16"/>
  <c r="K17" i="16"/>
  <c r="B22" i="16"/>
  <c r="A8" i="7" l="1"/>
  <c r="J7" i="7"/>
  <c r="F7" i="7"/>
  <c r="B7" i="7"/>
  <c r="C7" i="7"/>
  <c r="G7" i="7"/>
  <c r="H7" i="7" s="1"/>
  <c r="K7" i="7"/>
  <c r="E7" i="7"/>
  <c r="I7" i="7"/>
  <c r="D7" i="7"/>
  <c r="Q17" i="13"/>
  <c r="Q20" i="13"/>
  <c r="P21" i="13"/>
  <c r="P13" i="13"/>
  <c r="P18" i="13"/>
  <c r="Q12" i="13"/>
  <c r="Q21" i="13"/>
  <c r="Q13" i="13"/>
  <c r="Q22" i="13"/>
  <c r="Q14" i="13"/>
  <c r="N7" i="13"/>
  <c r="Q19" i="13"/>
  <c r="P12" i="13"/>
  <c r="Q11" i="13"/>
  <c r="Q15" i="13"/>
  <c r="Q18" i="13"/>
  <c r="P19" i="13"/>
  <c r="P17" i="13"/>
  <c r="N6" i="13"/>
  <c r="Q16" i="13"/>
  <c r="P20" i="13"/>
  <c r="P11" i="13"/>
  <c r="P22" i="13"/>
  <c r="P14" i="13"/>
  <c r="P16" i="13"/>
  <c r="P15" i="13"/>
  <c r="K18" i="16"/>
  <c r="G25" i="16"/>
  <c r="A9" i="7" l="1"/>
  <c r="I8" i="7"/>
  <c r="D8" i="7"/>
  <c r="J8" i="7"/>
  <c r="C8" i="7"/>
  <c r="G8" i="7"/>
  <c r="H8" i="7" s="1"/>
  <c r="B8" i="7"/>
  <c r="F8" i="7"/>
  <c r="K8" i="7"/>
  <c r="E8" i="7"/>
  <c r="A10" i="7" l="1"/>
  <c r="K9" i="7"/>
  <c r="G9" i="7"/>
  <c r="H9" i="7" s="1"/>
  <c r="C9" i="7"/>
  <c r="J9" i="7"/>
  <c r="E9" i="7"/>
  <c r="I9" i="7"/>
  <c r="D9" i="7"/>
  <c r="B9" i="7"/>
  <c r="F9" i="7"/>
  <c r="A11" i="7" l="1"/>
  <c r="J10" i="7"/>
  <c r="E10" i="7"/>
  <c r="F10" i="7"/>
  <c r="K10" i="7"/>
  <c r="D10" i="7"/>
  <c r="I10" i="7"/>
  <c r="C10" i="7"/>
  <c r="G10" i="7"/>
  <c r="H10" i="7" s="1"/>
  <c r="B10" i="7"/>
  <c r="A12" i="7" l="1"/>
  <c r="D11" i="7"/>
  <c r="G11" i="7"/>
  <c r="H11" i="7" s="1"/>
  <c r="B11" i="7"/>
  <c r="K11" i="7"/>
  <c r="F11" i="7"/>
  <c r="J11" i="7"/>
  <c r="E11" i="7"/>
  <c r="C11" i="7"/>
  <c r="I11" i="7"/>
  <c r="A13" i="7" l="1"/>
  <c r="K12" i="7"/>
  <c r="F12" i="7"/>
  <c r="B12" i="7"/>
  <c r="I12" i="7"/>
  <c r="C12" i="7"/>
  <c r="G12" i="7"/>
  <c r="H12" i="7" s="1"/>
  <c r="E12" i="7"/>
  <c r="J12" i="7"/>
  <c r="D12" i="7"/>
  <c r="A14" i="7" l="1"/>
  <c r="I13" i="7"/>
  <c r="E13" i="7"/>
  <c r="J13" i="7"/>
  <c r="D13" i="7"/>
  <c r="C13" i="7"/>
  <c r="G13" i="7"/>
  <c r="H13" i="7" s="1"/>
  <c r="B13" i="7"/>
  <c r="F13" i="7"/>
  <c r="K13" i="7"/>
  <c r="A15" i="7" l="1"/>
  <c r="G14" i="7"/>
  <c r="H14" i="7" s="1"/>
  <c r="C14" i="7"/>
  <c r="K14" i="7"/>
  <c r="E14" i="7"/>
  <c r="J14" i="7"/>
  <c r="D14" i="7"/>
  <c r="I14" i="7"/>
  <c r="B14" i="7"/>
  <c r="F14" i="7"/>
  <c r="A16" i="7" l="1"/>
  <c r="J15" i="7"/>
  <c r="F15" i="7"/>
  <c r="B15" i="7"/>
  <c r="G15" i="7"/>
  <c r="H15" i="7" s="1"/>
  <c r="K15" i="7"/>
  <c r="E15" i="7"/>
  <c r="I15" i="7"/>
  <c r="D15" i="7"/>
  <c r="C15" i="7"/>
  <c r="A17" i="7" l="1"/>
  <c r="I16" i="7"/>
  <c r="D16" i="7"/>
  <c r="G16" i="7"/>
  <c r="H16" i="7" s="1"/>
  <c r="B16" i="7"/>
  <c r="F16" i="7"/>
  <c r="K16" i="7"/>
  <c r="E16" i="7"/>
  <c r="J16" i="7"/>
  <c r="C16" i="7"/>
  <c r="A18" i="7" l="1"/>
  <c r="K17" i="7"/>
  <c r="G17" i="7"/>
  <c r="H17" i="7" s="1"/>
  <c r="C17" i="7"/>
  <c r="I17" i="7"/>
  <c r="D17" i="7"/>
  <c r="B17" i="7"/>
  <c r="F17" i="7"/>
  <c r="J17" i="7"/>
  <c r="E17" i="7"/>
  <c r="A19" i="7" l="1"/>
  <c r="J18" i="7"/>
  <c r="E18" i="7"/>
  <c r="K18" i="7"/>
  <c r="D18" i="7"/>
  <c r="I18" i="7"/>
  <c r="C18" i="7"/>
  <c r="G18" i="7"/>
  <c r="H18" i="7" s="1"/>
  <c r="B18" i="7"/>
  <c r="F18" i="7"/>
  <c r="A20" i="7" l="1"/>
  <c r="D19" i="7"/>
  <c r="K19" i="7"/>
  <c r="F19" i="7"/>
  <c r="J19" i="7"/>
  <c r="E19" i="7"/>
  <c r="I19" i="7"/>
  <c r="C19" i="7"/>
  <c r="G19" i="7"/>
  <c r="H19" i="7" s="1"/>
  <c r="B19" i="7"/>
  <c r="A21" i="7" l="1"/>
  <c r="K20" i="7"/>
  <c r="F20" i="7"/>
  <c r="B20" i="7"/>
  <c r="G20" i="7"/>
  <c r="H20" i="7" s="1"/>
  <c r="E20" i="7"/>
  <c r="J20" i="7"/>
  <c r="D20" i="7"/>
  <c r="C20" i="7"/>
  <c r="I20" i="7"/>
  <c r="A22" i="7" l="1"/>
  <c r="I21" i="7"/>
  <c r="E21" i="7"/>
  <c r="C21" i="7"/>
  <c r="G21" i="7"/>
  <c r="H21" i="7" s="1"/>
  <c r="B21" i="7"/>
  <c r="K21" i="7"/>
  <c r="F21" i="7"/>
  <c r="J21" i="7"/>
  <c r="D21" i="7"/>
  <c r="A23" i="7" l="1"/>
  <c r="G22" i="7"/>
  <c r="H22" i="7" s="1"/>
  <c r="C22" i="7"/>
  <c r="J22" i="7"/>
  <c r="D22" i="7"/>
  <c r="I22" i="7"/>
  <c r="B22" i="7"/>
  <c r="F22" i="7"/>
  <c r="E22" i="7"/>
  <c r="K22" i="7"/>
  <c r="A24" i="7" l="1"/>
  <c r="J23" i="7"/>
  <c r="F23" i="7"/>
  <c r="B23" i="7"/>
  <c r="K23" i="7"/>
  <c r="E23" i="7"/>
  <c r="I23" i="7"/>
  <c r="D23" i="7"/>
  <c r="C23" i="7"/>
  <c r="G23" i="7"/>
  <c r="H23" i="7" s="1"/>
  <c r="A25" i="7" l="1"/>
  <c r="I24" i="7"/>
  <c r="D24" i="7"/>
  <c r="F24" i="7"/>
  <c r="K24" i="7"/>
  <c r="E24" i="7"/>
  <c r="J24" i="7"/>
  <c r="C24" i="7"/>
  <c r="G24" i="7"/>
  <c r="H24" i="7" s="1"/>
  <c r="B24" i="7"/>
  <c r="A26" i="7" l="1"/>
  <c r="K25" i="7"/>
  <c r="G25" i="7"/>
  <c r="H25" i="7" s="1"/>
  <c r="C25" i="7"/>
  <c r="B25" i="7"/>
  <c r="F25" i="7"/>
  <c r="J25" i="7"/>
  <c r="E25" i="7"/>
  <c r="I25" i="7"/>
  <c r="D25" i="7"/>
  <c r="A27" i="7" l="1"/>
  <c r="J26" i="7"/>
  <c r="E26" i="7"/>
  <c r="I26" i="7"/>
  <c r="C26" i="7"/>
  <c r="G26" i="7"/>
  <c r="H26" i="7" s="1"/>
  <c r="B26" i="7"/>
  <c r="F26" i="7"/>
  <c r="K26" i="7"/>
  <c r="D26" i="7"/>
  <c r="A28" i="7" l="1"/>
  <c r="D27" i="7"/>
  <c r="J27" i="7"/>
  <c r="E27" i="7"/>
  <c r="I27" i="7"/>
  <c r="C27" i="7"/>
  <c r="G27" i="7"/>
  <c r="H27" i="7" s="1"/>
  <c r="B27" i="7"/>
  <c r="F27" i="7"/>
  <c r="K27" i="7"/>
  <c r="A29" i="7" l="1"/>
  <c r="K28" i="7"/>
  <c r="F28" i="7"/>
  <c r="B28" i="7"/>
  <c r="E28" i="7"/>
  <c r="J28" i="7"/>
  <c r="D28" i="7"/>
  <c r="I28" i="7"/>
  <c r="C28" i="7"/>
  <c r="G28" i="7"/>
  <c r="H28" i="7" s="1"/>
  <c r="A30" i="7" l="1"/>
  <c r="I29" i="7"/>
  <c r="E29" i="7"/>
  <c r="G29" i="7"/>
  <c r="H29" i="7" s="1"/>
  <c r="B29" i="7"/>
  <c r="K29" i="7"/>
  <c r="F29" i="7"/>
  <c r="J29" i="7"/>
  <c r="D29" i="7"/>
  <c r="C29" i="7"/>
  <c r="A31" i="7" l="1"/>
  <c r="G30" i="7"/>
  <c r="H30" i="7" s="1"/>
  <c r="C30" i="7"/>
  <c r="I30" i="7"/>
  <c r="B30" i="7"/>
  <c r="F30" i="7"/>
  <c r="K30" i="7"/>
  <c r="E30" i="7"/>
  <c r="J30" i="7"/>
  <c r="D30" i="7"/>
  <c r="A32" i="7" l="1"/>
  <c r="J31" i="7"/>
  <c r="F31" i="7"/>
  <c r="B31" i="7"/>
  <c r="I31" i="7"/>
  <c r="D31" i="7"/>
  <c r="C31" i="7"/>
  <c r="G31" i="7"/>
  <c r="H31" i="7" s="1"/>
  <c r="E31" i="7"/>
  <c r="K31" i="7"/>
  <c r="A33" i="7" l="1"/>
  <c r="I32" i="7"/>
  <c r="D32" i="7"/>
  <c r="K32" i="7"/>
  <c r="E32" i="7"/>
  <c r="J32" i="7"/>
  <c r="C32" i="7"/>
  <c r="G32" i="7"/>
  <c r="H32" i="7" s="1"/>
  <c r="B32" i="7"/>
  <c r="F32" i="7"/>
  <c r="A34" i="7" l="1"/>
  <c r="K33" i="7"/>
  <c r="G33" i="7"/>
  <c r="H33" i="7" s="1"/>
  <c r="C33" i="7"/>
  <c r="F33" i="7"/>
  <c r="J33" i="7"/>
  <c r="E33" i="7"/>
  <c r="I33" i="7"/>
  <c r="D33" i="7"/>
  <c r="B33" i="7"/>
  <c r="A35" i="7" l="1"/>
  <c r="J34" i="7"/>
  <c r="E34" i="7"/>
  <c r="G34" i="7"/>
  <c r="H34" i="7" s="1"/>
  <c r="B34" i="7"/>
  <c r="F34" i="7"/>
  <c r="K34" i="7"/>
  <c r="D34" i="7"/>
  <c r="C34" i="7"/>
  <c r="I34" i="7"/>
  <c r="A36" i="7" l="1"/>
  <c r="D35" i="7"/>
  <c r="I35" i="7"/>
  <c r="C35" i="7"/>
  <c r="G35" i="7"/>
  <c r="H35" i="7" s="1"/>
  <c r="B35" i="7"/>
  <c r="K35" i="7"/>
  <c r="F35" i="7"/>
  <c r="J35" i="7"/>
  <c r="E35" i="7"/>
  <c r="A37" i="7" l="1"/>
  <c r="K36" i="7"/>
  <c r="F36" i="7"/>
  <c r="B36" i="7"/>
  <c r="J36" i="7"/>
  <c r="D36" i="7"/>
  <c r="I36" i="7"/>
  <c r="C36" i="7"/>
  <c r="G36" i="7"/>
  <c r="H36" i="7" s="1"/>
  <c r="E36" i="7"/>
  <c r="A38" i="7" l="1"/>
  <c r="I37" i="7"/>
  <c r="E37" i="7"/>
  <c r="K37" i="7"/>
  <c r="F37" i="7"/>
  <c r="J37" i="7"/>
  <c r="D37" i="7"/>
  <c r="C37" i="7"/>
  <c r="G37" i="7"/>
  <c r="H37" i="7" s="1"/>
  <c r="B37" i="7"/>
  <c r="A39" i="7" l="1"/>
  <c r="G38" i="7"/>
  <c r="H38" i="7" s="1"/>
  <c r="C38" i="7"/>
  <c r="F38" i="7"/>
  <c r="K38" i="7"/>
  <c r="E38" i="7"/>
  <c r="J38" i="7"/>
  <c r="D38" i="7"/>
  <c r="B38" i="7"/>
  <c r="I38" i="7"/>
  <c r="A40" i="7" l="1"/>
  <c r="J39" i="7"/>
  <c r="F39" i="7"/>
  <c r="B39" i="7"/>
  <c r="C39" i="7"/>
  <c r="G39" i="7"/>
  <c r="H39" i="7" s="1"/>
  <c r="K39" i="7"/>
  <c r="E39" i="7"/>
  <c r="I39" i="7"/>
  <c r="D39" i="7"/>
  <c r="A41" i="7" l="1"/>
  <c r="I40" i="7"/>
  <c r="D40" i="7"/>
  <c r="J40" i="7"/>
  <c r="C40" i="7"/>
  <c r="G40" i="7"/>
  <c r="H40" i="7" s="1"/>
  <c r="B40" i="7"/>
  <c r="F40" i="7"/>
  <c r="E40" i="7"/>
  <c r="K40" i="7"/>
  <c r="A42" i="7" l="1"/>
  <c r="K41" i="7"/>
  <c r="G41" i="7"/>
  <c r="H41" i="7" s="1"/>
  <c r="C41" i="7"/>
  <c r="J41" i="7"/>
  <c r="E41" i="7"/>
  <c r="I41" i="7"/>
  <c r="D41" i="7"/>
  <c r="B41" i="7"/>
  <c r="F41" i="7"/>
  <c r="A43" i="7" l="1"/>
  <c r="J42" i="7"/>
  <c r="E42" i="7"/>
  <c r="F42" i="7"/>
  <c r="K42" i="7"/>
  <c r="D42" i="7"/>
  <c r="I42" i="7"/>
  <c r="C42" i="7"/>
  <c r="G42" i="7"/>
  <c r="H42" i="7" s="1"/>
  <c r="B42" i="7"/>
  <c r="A44" i="7" l="1"/>
  <c r="D43" i="7"/>
  <c r="G43" i="7"/>
  <c r="H43" i="7" s="1"/>
  <c r="B43" i="7"/>
  <c r="K43" i="7"/>
  <c r="F43" i="7"/>
  <c r="J43" i="7"/>
  <c r="E43" i="7"/>
  <c r="C43" i="7"/>
  <c r="I43" i="7"/>
  <c r="A45" i="7" l="1"/>
  <c r="K44" i="7"/>
  <c r="F44" i="7"/>
  <c r="B44" i="7"/>
  <c r="I44" i="7"/>
  <c r="C44" i="7"/>
  <c r="G44" i="7"/>
  <c r="H44" i="7" s="1"/>
  <c r="E44" i="7"/>
  <c r="J44" i="7"/>
  <c r="D44" i="7"/>
  <c r="A46" i="7" l="1"/>
  <c r="I45" i="7"/>
  <c r="E45" i="7"/>
  <c r="J45" i="7"/>
  <c r="D45" i="7"/>
  <c r="C45" i="7"/>
  <c r="G45" i="7"/>
  <c r="H45" i="7" s="1"/>
  <c r="B45" i="7"/>
  <c r="K45" i="7"/>
  <c r="F45" i="7"/>
  <c r="A47" i="7" l="1"/>
  <c r="G46" i="7"/>
  <c r="H46" i="7" s="1"/>
  <c r="C46" i="7"/>
  <c r="K46" i="7"/>
  <c r="E46" i="7"/>
  <c r="J46" i="7"/>
  <c r="D46" i="7"/>
  <c r="I46" i="7"/>
  <c r="B46" i="7"/>
  <c r="F46" i="7"/>
  <c r="A48" i="7" l="1"/>
  <c r="J47" i="7"/>
  <c r="F47" i="7"/>
  <c r="B47" i="7"/>
  <c r="G47" i="7"/>
  <c r="H47" i="7" s="1"/>
  <c r="K47" i="7"/>
  <c r="E47" i="7"/>
  <c r="I47" i="7"/>
  <c r="D47" i="7"/>
  <c r="C47" i="7"/>
  <c r="A49" i="7" l="1"/>
  <c r="I48" i="7"/>
  <c r="D48" i="7"/>
  <c r="G48" i="7"/>
  <c r="H48" i="7" s="1"/>
  <c r="B48" i="7"/>
  <c r="F48" i="7"/>
  <c r="K48" i="7"/>
  <c r="E48" i="7"/>
  <c r="J48" i="7"/>
  <c r="C48" i="7"/>
  <c r="A50" i="7" l="1"/>
  <c r="K49" i="7"/>
  <c r="G49" i="7"/>
  <c r="H49" i="7" s="1"/>
  <c r="C49" i="7"/>
  <c r="I49" i="7"/>
  <c r="D49" i="7"/>
  <c r="B49" i="7"/>
  <c r="F49" i="7"/>
  <c r="E49" i="7"/>
  <c r="J49" i="7"/>
  <c r="A51" i="7" l="1"/>
  <c r="J50" i="7"/>
  <c r="E50" i="7"/>
  <c r="K50" i="7"/>
  <c r="D50" i="7"/>
  <c r="I50" i="7"/>
  <c r="C50" i="7"/>
  <c r="G50" i="7"/>
  <c r="H50" i="7" s="1"/>
  <c r="B50" i="7"/>
  <c r="F50" i="7"/>
  <c r="A52" i="7" l="1"/>
  <c r="D51" i="7"/>
  <c r="K51" i="7"/>
  <c r="F51" i="7"/>
  <c r="J51" i="7"/>
  <c r="E51" i="7"/>
  <c r="I51" i="7"/>
  <c r="C51" i="7"/>
  <c r="G51" i="7"/>
  <c r="H51" i="7" s="1"/>
  <c r="B51" i="7"/>
  <c r="A53" i="7" l="1"/>
  <c r="K52" i="7"/>
  <c r="F52" i="7"/>
  <c r="B52" i="7"/>
  <c r="G52" i="7"/>
  <c r="H52" i="7" s="1"/>
  <c r="E52" i="7"/>
  <c r="J52" i="7"/>
  <c r="D52" i="7"/>
  <c r="C52" i="7"/>
  <c r="I52" i="7"/>
  <c r="A54" i="7" l="1"/>
  <c r="I53" i="7"/>
  <c r="E53" i="7"/>
  <c r="C53" i="7"/>
  <c r="G53" i="7"/>
  <c r="H53" i="7" s="1"/>
  <c r="B53" i="7"/>
  <c r="K53" i="7"/>
  <c r="F53" i="7"/>
  <c r="J53" i="7"/>
  <c r="D53" i="7"/>
  <c r="A55" i="7" l="1"/>
  <c r="G54" i="7"/>
  <c r="H54" i="7" s="1"/>
  <c r="C54" i="7"/>
  <c r="J54" i="7"/>
  <c r="D54" i="7"/>
  <c r="I54" i="7"/>
  <c r="B54" i="7"/>
  <c r="F54" i="7"/>
  <c r="K54" i="7"/>
  <c r="E54" i="7"/>
  <c r="A56" i="7" l="1"/>
  <c r="J55" i="7"/>
  <c r="F55" i="7"/>
  <c r="B55" i="7"/>
  <c r="K55" i="7"/>
  <c r="E55" i="7"/>
  <c r="I55" i="7"/>
  <c r="D55" i="7"/>
  <c r="C55" i="7"/>
  <c r="G55" i="7"/>
  <c r="H55" i="7" s="1"/>
  <c r="A57" i="7" l="1"/>
  <c r="I56" i="7"/>
  <c r="D56" i="7"/>
  <c r="F56" i="7"/>
  <c r="K56" i="7"/>
  <c r="E56" i="7"/>
  <c r="J56" i="7"/>
  <c r="C56" i="7"/>
  <c r="B56" i="7"/>
  <c r="G56" i="7"/>
  <c r="H56" i="7" s="1"/>
  <c r="A58" i="7" l="1"/>
  <c r="K57" i="7"/>
  <c r="G57" i="7"/>
  <c r="H57" i="7" s="1"/>
  <c r="C57" i="7"/>
  <c r="B57" i="7"/>
  <c r="F57" i="7"/>
  <c r="J57" i="7"/>
  <c r="E57" i="7"/>
  <c r="I57" i="7"/>
  <c r="D57" i="7"/>
  <c r="A59" i="7" l="1"/>
  <c r="J58" i="7"/>
  <c r="E58" i="7"/>
  <c r="I58" i="7"/>
  <c r="C58" i="7"/>
  <c r="G58" i="7"/>
  <c r="H58" i="7" s="1"/>
  <c r="B58" i="7"/>
  <c r="F58" i="7"/>
  <c r="K58" i="7"/>
  <c r="D58" i="7"/>
  <c r="A60" i="7" l="1"/>
  <c r="D59" i="7"/>
  <c r="J59" i="7"/>
  <c r="E59" i="7"/>
  <c r="I59" i="7"/>
  <c r="C59" i="7"/>
  <c r="G59" i="7"/>
  <c r="H59" i="7" s="1"/>
  <c r="B59" i="7"/>
  <c r="K59" i="7"/>
  <c r="F59" i="7"/>
  <c r="A61" i="7" l="1"/>
  <c r="K60" i="7"/>
  <c r="F60" i="7"/>
  <c r="B60" i="7"/>
  <c r="E60" i="7"/>
  <c r="J60" i="7"/>
  <c r="D60" i="7"/>
  <c r="I60" i="7"/>
  <c r="C60" i="7"/>
  <c r="G60" i="7"/>
  <c r="H60" i="7" s="1"/>
  <c r="A62" i="7" l="1"/>
  <c r="I61" i="7"/>
  <c r="E61" i="7"/>
  <c r="G61" i="7"/>
  <c r="H61" i="7" s="1"/>
  <c r="B61" i="7"/>
  <c r="K61" i="7"/>
  <c r="F61" i="7"/>
  <c r="J61" i="7"/>
  <c r="D61" i="7"/>
  <c r="C61" i="7"/>
  <c r="A63" i="7" l="1"/>
  <c r="G62" i="7"/>
  <c r="H62" i="7" s="1"/>
  <c r="C62" i="7"/>
  <c r="I62" i="7"/>
  <c r="B62" i="7"/>
  <c r="F62" i="7"/>
  <c r="K62" i="7"/>
  <c r="E62" i="7"/>
  <c r="J62" i="7"/>
  <c r="D62" i="7"/>
  <c r="A64" i="7" l="1"/>
  <c r="J63" i="7"/>
  <c r="F63" i="7"/>
  <c r="B63" i="7"/>
  <c r="I63" i="7"/>
  <c r="D63" i="7"/>
  <c r="C63" i="7"/>
  <c r="G63" i="7"/>
  <c r="H63" i="7" s="1"/>
  <c r="E63" i="7"/>
  <c r="K63" i="7"/>
  <c r="A65" i="7" l="1"/>
  <c r="I64" i="7"/>
  <c r="D64" i="7"/>
  <c r="K64" i="7"/>
  <c r="E64" i="7"/>
  <c r="J64" i="7"/>
  <c r="C64" i="7"/>
  <c r="G64" i="7"/>
  <c r="H64" i="7" s="1"/>
  <c r="B64" i="7"/>
  <c r="F64" i="7"/>
  <c r="A66" i="7" l="1"/>
  <c r="K65" i="7"/>
  <c r="G65" i="7"/>
  <c r="H65" i="7" s="1"/>
  <c r="C65" i="7"/>
  <c r="F65" i="7"/>
  <c r="J65" i="7"/>
  <c r="E65" i="7"/>
  <c r="I65" i="7"/>
  <c r="D65" i="7"/>
  <c r="B65" i="7"/>
  <c r="A67" i="7" l="1"/>
  <c r="J66" i="7"/>
  <c r="E66" i="7"/>
  <c r="G66" i="7"/>
  <c r="H66" i="7" s="1"/>
  <c r="B66" i="7"/>
  <c r="F66" i="7"/>
  <c r="K66" i="7"/>
  <c r="D66" i="7"/>
  <c r="I66" i="7"/>
  <c r="C66" i="7"/>
  <c r="A68" i="7" l="1"/>
  <c r="D67" i="7"/>
  <c r="I67" i="7"/>
  <c r="C67" i="7"/>
  <c r="G67" i="7"/>
  <c r="H67" i="7" s="1"/>
  <c r="B67" i="7"/>
  <c r="K67" i="7"/>
  <c r="F67" i="7"/>
  <c r="J67" i="7"/>
  <c r="E67" i="7"/>
  <c r="A69" i="7" l="1"/>
  <c r="K68" i="7"/>
  <c r="F68" i="7"/>
  <c r="B68" i="7"/>
  <c r="J68" i="7"/>
  <c r="D68" i="7"/>
  <c r="I68" i="7"/>
  <c r="C68" i="7"/>
  <c r="G68" i="7"/>
  <c r="H68" i="7" s="1"/>
  <c r="E68" i="7"/>
  <c r="A70" i="7" l="1"/>
  <c r="I69" i="7"/>
  <c r="E69" i="7"/>
  <c r="K69" i="7"/>
  <c r="F69" i="7"/>
  <c r="J69" i="7"/>
  <c r="D69" i="7"/>
  <c r="C69" i="7"/>
  <c r="G69" i="7"/>
  <c r="H69" i="7" s="1"/>
  <c r="B69" i="7"/>
  <c r="A71" i="7" l="1"/>
  <c r="G70" i="7"/>
  <c r="H70" i="7" s="1"/>
  <c r="C70" i="7"/>
  <c r="F70" i="7"/>
  <c r="K70" i="7"/>
  <c r="E70" i="7"/>
  <c r="J70" i="7"/>
  <c r="D70" i="7"/>
  <c r="I70" i="7"/>
  <c r="B70" i="7"/>
  <c r="A72" i="7" l="1"/>
  <c r="J71" i="7"/>
  <c r="F71" i="7"/>
  <c r="B71" i="7"/>
  <c r="C71" i="7"/>
  <c r="G71" i="7"/>
  <c r="H71" i="7" s="1"/>
  <c r="K71" i="7"/>
  <c r="E71" i="7"/>
  <c r="I71" i="7"/>
  <c r="D71" i="7"/>
  <c r="A73" i="7" l="1"/>
  <c r="I72" i="7"/>
  <c r="D72" i="7"/>
  <c r="J72" i="7"/>
  <c r="C72" i="7"/>
  <c r="G72" i="7"/>
  <c r="H72" i="7" s="1"/>
  <c r="B72" i="7"/>
  <c r="F72" i="7"/>
  <c r="K72" i="7"/>
  <c r="E72" i="7"/>
  <c r="A74" i="7" l="1"/>
  <c r="K73" i="7"/>
  <c r="G73" i="7"/>
  <c r="H73" i="7" s="1"/>
  <c r="C73" i="7"/>
  <c r="J73" i="7"/>
  <c r="E73" i="7"/>
  <c r="I73" i="7"/>
  <c r="D73" i="7"/>
  <c r="B73" i="7"/>
  <c r="F73" i="7"/>
  <c r="A75" i="7" l="1"/>
  <c r="J74" i="7"/>
  <c r="E74" i="7"/>
  <c r="F74" i="7"/>
  <c r="K74" i="7"/>
  <c r="D74" i="7"/>
  <c r="I74" i="7"/>
  <c r="C74" i="7"/>
  <c r="G74" i="7"/>
  <c r="H74" i="7" s="1"/>
  <c r="B74" i="7"/>
  <c r="A76" i="7" l="1"/>
  <c r="D75" i="7"/>
  <c r="G75" i="7"/>
  <c r="H75" i="7" s="1"/>
  <c r="B75" i="7"/>
  <c r="K75" i="7"/>
  <c r="F75" i="7"/>
  <c r="J75" i="7"/>
  <c r="E75" i="7"/>
  <c r="I75" i="7"/>
  <c r="C75" i="7"/>
  <c r="A77" i="7" l="1"/>
  <c r="K76" i="7"/>
  <c r="F76" i="7"/>
  <c r="B76" i="7"/>
  <c r="I76" i="7"/>
  <c r="C76" i="7"/>
  <c r="G76" i="7"/>
  <c r="H76" i="7" s="1"/>
  <c r="E76" i="7"/>
  <c r="J76" i="7"/>
  <c r="D76" i="7"/>
  <c r="A78" i="7" l="1"/>
  <c r="I77" i="7"/>
  <c r="E77" i="7"/>
  <c r="G77" i="7"/>
  <c r="H77" i="7" s="1"/>
  <c r="K77" i="7"/>
  <c r="D77" i="7"/>
  <c r="J77" i="7"/>
  <c r="C77" i="7"/>
  <c r="B77" i="7"/>
  <c r="F77" i="7"/>
  <c r="A79" i="7" l="1"/>
  <c r="G78" i="7"/>
  <c r="H78" i="7" s="1"/>
  <c r="C78" i="7"/>
  <c r="I78" i="7"/>
  <c r="B78" i="7"/>
  <c r="F78" i="7"/>
  <c r="D78" i="7"/>
  <c r="K78" i="7"/>
  <c r="J78" i="7"/>
  <c r="E78" i="7"/>
  <c r="A80" i="7" l="1"/>
  <c r="J79" i="7"/>
  <c r="F79" i="7"/>
  <c r="B79" i="7"/>
  <c r="I79" i="7"/>
  <c r="D79" i="7"/>
  <c r="C79" i="7"/>
  <c r="E79" i="7"/>
  <c r="K79" i="7"/>
  <c r="G79" i="7"/>
  <c r="H79" i="7" s="1"/>
  <c r="A81" i="7" l="1"/>
  <c r="I80" i="7"/>
  <c r="D80" i="7"/>
  <c r="K80" i="7"/>
  <c r="E80" i="7"/>
  <c r="J80" i="7"/>
  <c r="C80" i="7"/>
  <c r="F80" i="7"/>
  <c r="B80" i="7"/>
  <c r="G80" i="7"/>
  <c r="H80" i="7" s="1"/>
  <c r="A82" i="7" l="1"/>
  <c r="K81" i="7"/>
  <c r="G81" i="7"/>
  <c r="H81" i="7" s="1"/>
  <c r="C81" i="7"/>
  <c r="F81" i="7"/>
  <c r="J81" i="7"/>
  <c r="E81" i="7"/>
  <c r="D81" i="7"/>
  <c r="B81" i="7"/>
  <c r="I81" i="7"/>
  <c r="A83" i="7" l="1"/>
  <c r="J82" i="7"/>
  <c r="E82" i="7"/>
  <c r="G82" i="7"/>
  <c r="H82" i="7" s="1"/>
  <c r="B82" i="7"/>
  <c r="F82" i="7"/>
  <c r="I82" i="7"/>
  <c r="D82" i="7"/>
  <c r="C82" i="7"/>
  <c r="K82" i="7"/>
  <c r="A84" i="7" l="1"/>
  <c r="D83" i="7"/>
  <c r="I83" i="7"/>
  <c r="C83" i="7"/>
  <c r="G83" i="7"/>
  <c r="H83" i="7" s="1"/>
  <c r="B83" i="7"/>
  <c r="J83" i="7"/>
  <c r="F83" i="7"/>
  <c r="E83" i="7"/>
  <c r="K83" i="7"/>
  <c r="A85" i="7" l="1"/>
  <c r="K84" i="7"/>
  <c r="F84" i="7"/>
  <c r="B84" i="7"/>
  <c r="J84" i="7"/>
  <c r="D84" i="7"/>
  <c r="I84" i="7"/>
  <c r="C84" i="7"/>
  <c r="G84" i="7"/>
  <c r="H84" i="7" s="1"/>
  <c r="E84" i="7"/>
  <c r="A86" i="7" l="1"/>
  <c r="I85" i="7"/>
  <c r="E85" i="7"/>
  <c r="K85" i="7"/>
  <c r="F85" i="7"/>
  <c r="J85" i="7"/>
  <c r="D85" i="7"/>
  <c r="B85" i="7"/>
  <c r="G85" i="7"/>
  <c r="H85" i="7" s="1"/>
  <c r="C85" i="7"/>
  <c r="A87" i="7" l="1"/>
  <c r="G86" i="7"/>
  <c r="H86" i="7" s="1"/>
  <c r="C86" i="7"/>
  <c r="F86" i="7"/>
  <c r="K86" i="7"/>
  <c r="E86" i="7"/>
  <c r="B86" i="7"/>
  <c r="J86" i="7"/>
  <c r="I86" i="7"/>
  <c r="D86" i="7"/>
  <c r="A88" i="7" l="1"/>
  <c r="J87" i="7"/>
  <c r="F87" i="7"/>
  <c r="B87" i="7"/>
  <c r="C87" i="7"/>
  <c r="G87" i="7"/>
  <c r="H87" i="7" s="1"/>
  <c r="D87" i="7"/>
  <c r="K87" i="7"/>
  <c r="I87" i="7"/>
  <c r="E87" i="7"/>
  <c r="A89" i="7" l="1"/>
  <c r="I88" i="7"/>
  <c r="D88" i="7"/>
  <c r="J88" i="7"/>
  <c r="C88" i="7"/>
  <c r="G88" i="7"/>
  <c r="H88" i="7" s="1"/>
  <c r="B88" i="7"/>
  <c r="E88" i="7"/>
  <c r="K88" i="7"/>
  <c r="F88" i="7"/>
  <c r="A90" i="7" l="1"/>
  <c r="K89" i="7"/>
  <c r="G89" i="7"/>
  <c r="H89" i="7" s="1"/>
  <c r="C89" i="7"/>
  <c r="J89" i="7"/>
  <c r="E89" i="7"/>
  <c r="I89" i="7"/>
  <c r="D89" i="7"/>
  <c r="F89" i="7"/>
  <c r="B89" i="7"/>
  <c r="A91" i="7" l="1"/>
  <c r="J90" i="7"/>
  <c r="E90" i="7"/>
  <c r="F90" i="7"/>
  <c r="K90" i="7"/>
  <c r="D90" i="7"/>
  <c r="G90" i="7"/>
  <c r="H90" i="7" s="1"/>
  <c r="C90" i="7"/>
  <c r="B90" i="7"/>
  <c r="I90" i="7"/>
  <c r="A92" i="7" l="1"/>
  <c r="D91" i="7"/>
  <c r="G91" i="7"/>
  <c r="H91" i="7" s="1"/>
  <c r="B91" i="7"/>
  <c r="K91" i="7"/>
  <c r="F91" i="7"/>
  <c r="I91" i="7"/>
  <c r="E91" i="7"/>
  <c r="C91" i="7"/>
  <c r="J91" i="7"/>
  <c r="A93" i="7" l="1"/>
  <c r="K92" i="7"/>
  <c r="F92" i="7"/>
  <c r="B92" i="7"/>
  <c r="I92" i="7"/>
  <c r="C92" i="7"/>
  <c r="G92" i="7"/>
  <c r="H92" i="7" s="1"/>
  <c r="J92" i="7"/>
  <c r="E92" i="7"/>
  <c r="D92" i="7"/>
  <c r="A94" i="7" l="1"/>
  <c r="I93" i="7"/>
  <c r="E93" i="7"/>
  <c r="J93" i="7"/>
  <c r="D93" i="7"/>
  <c r="C93" i="7"/>
  <c r="K93" i="7"/>
  <c r="G93" i="7"/>
  <c r="H93" i="7" s="1"/>
  <c r="F93" i="7"/>
  <c r="B93" i="7"/>
  <c r="A95" i="7" l="1"/>
  <c r="G94" i="7"/>
  <c r="H94" i="7" s="1"/>
  <c r="C94" i="7"/>
  <c r="K94" i="7"/>
  <c r="E94" i="7"/>
  <c r="J94" i="7"/>
  <c r="D94" i="7"/>
  <c r="I94" i="7"/>
  <c r="F94" i="7"/>
  <c r="B94" i="7"/>
  <c r="A96" i="7" l="1"/>
  <c r="J95" i="7"/>
  <c r="F95" i="7"/>
  <c r="B95" i="7"/>
  <c r="G95" i="7"/>
  <c r="H95" i="7" s="1"/>
  <c r="K95" i="7"/>
  <c r="E95" i="7"/>
  <c r="C95" i="7"/>
  <c r="I95" i="7"/>
  <c r="D95" i="7"/>
  <c r="A97" i="7" l="1"/>
  <c r="I96" i="7"/>
  <c r="D96" i="7"/>
  <c r="G96" i="7"/>
  <c r="H96" i="7" s="1"/>
  <c r="B96" i="7"/>
  <c r="F96" i="7"/>
  <c r="C96" i="7"/>
  <c r="K96" i="7"/>
  <c r="J96" i="7"/>
  <c r="E96" i="7"/>
  <c r="A98" i="7" l="1"/>
  <c r="K97" i="7"/>
  <c r="G97" i="7"/>
  <c r="H97" i="7" s="1"/>
  <c r="C97" i="7"/>
  <c r="I97" i="7"/>
  <c r="D97" i="7"/>
  <c r="B97" i="7"/>
  <c r="E97" i="7"/>
  <c r="J97" i="7"/>
  <c r="F97" i="7"/>
  <c r="A99" i="7" l="1"/>
  <c r="J98" i="7"/>
  <c r="E98" i="7"/>
  <c r="K98" i="7"/>
  <c r="D98" i="7"/>
  <c r="I98" i="7"/>
  <c r="C98" i="7"/>
  <c r="F98" i="7"/>
  <c r="B98" i="7"/>
  <c r="G98" i="7"/>
  <c r="H98" i="7" s="1"/>
  <c r="A100" i="7" l="1"/>
  <c r="D99" i="7"/>
  <c r="K99" i="7"/>
  <c r="F99" i="7"/>
  <c r="J99" i="7"/>
  <c r="E99" i="7"/>
  <c r="G99" i="7"/>
  <c r="H99" i="7" s="1"/>
  <c r="C99" i="7"/>
  <c r="B99" i="7"/>
  <c r="I99" i="7"/>
  <c r="A101" i="7" l="1"/>
  <c r="K100" i="7"/>
  <c r="F100" i="7"/>
  <c r="B100" i="7"/>
  <c r="G100" i="7"/>
  <c r="H100" i="7" s="1"/>
  <c r="E100" i="7"/>
  <c r="I100" i="7"/>
  <c r="D100" i="7"/>
  <c r="C100" i="7"/>
  <c r="J100" i="7"/>
  <c r="A102" i="7" l="1"/>
  <c r="I101" i="7"/>
  <c r="E101" i="7"/>
  <c r="C101" i="7"/>
  <c r="G101" i="7"/>
  <c r="H101" i="7" s="1"/>
  <c r="B101" i="7"/>
  <c r="K101" i="7"/>
  <c r="F101" i="7"/>
  <c r="J101" i="7"/>
  <c r="D101" i="7"/>
  <c r="A103" i="7" l="1"/>
  <c r="G102" i="7"/>
  <c r="H102" i="7" s="1"/>
  <c r="C102" i="7"/>
  <c r="J102" i="7"/>
  <c r="D102" i="7"/>
  <c r="I102" i="7"/>
  <c r="B102" i="7"/>
  <c r="F102" i="7"/>
  <c r="E102" i="7"/>
  <c r="K102" i="7"/>
  <c r="A104" i="7" l="1"/>
  <c r="J103" i="7"/>
  <c r="F103" i="7"/>
  <c r="B103" i="7"/>
  <c r="K103" i="7"/>
  <c r="E103" i="7"/>
  <c r="I103" i="7"/>
  <c r="D103" i="7"/>
  <c r="C103" i="7"/>
  <c r="G103" i="7"/>
  <c r="H103" i="7" s="1"/>
  <c r="A105" i="7" l="1"/>
  <c r="I104" i="7"/>
  <c r="D104" i="7"/>
  <c r="F104" i="7"/>
  <c r="K104" i="7"/>
  <c r="E104" i="7"/>
  <c r="J104" i="7"/>
  <c r="C104" i="7"/>
  <c r="G104" i="7"/>
  <c r="H104" i="7" s="1"/>
  <c r="B104" i="7"/>
  <c r="A106" i="7" l="1"/>
  <c r="K105" i="7"/>
  <c r="G105" i="7"/>
  <c r="H105" i="7" s="1"/>
  <c r="C105" i="7"/>
  <c r="B105" i="7"/>
  <c r="F105" i="7"/>
  <c r="J105" i="7"/>
  <c r="E105" i="7"/>
  <c r="I105" i="7"/>
  <c r="D105" i="7"/>
  <c r="A107" i="7" l="1"/>
  <c r="J106" i="7"/>
  <c r="E106" i="7"/>
  <c r="I106" i="7"/>
  <c r="C106" i="7"/>
  <c r="G106" i="7"/>
  <c r="H106" i="7" s="1"/>
  <c r="B106" i="7"/>
  <c r="F106" i="7"/>
  <c r="K106" i="7"/>
  <c r="D106" i="7"/>
  <c r="A108" i="7" l="1"/>
  <c r="D107" i="7"/>
  <c r="J107" i="7"/>
  <c r="E107" i="7"/>
  <c r="I107" i="7"/>
  <c r="C107" i="7"/>
  <c r="G107" i="7"/>
  <c r="H107" i="7" s="1"/>
  <c r="B107" i="7"/>
  <c r="K107" i="7"/>
  <c r="F107" i="7"/>
  <c r="A109" i="7" l="1"/>
  <c r="K108" i="7"/>
  <c r="F108" i="7"/>
  <c r="B108" i="7"/>
  <c r="E108" i="7"/>
  <c r="J108" i="7"/>
  <c r="D108" i="7"/>
  <c r="I108" i="7"/>
  <c r="C108" i="7"/>
  <c r="G108" i="7"/>
  <c r="H108" i="7" s="1"/>
  <c r="A110" i="7" l="1"/>
  <c r="I109" i="7"/>
  <c r="E109" i="7"/>
  <c r="G109" i="7"/>
  <c r="H109" i="7" s="1"/>
  <c r="B109" i="7"/>
  <c r="K109" i="7"/>
  <c r="F109" i="7"/>
  <c r="J109" i="7"/>
  <c r="D109" i="7"/>
  <c r="C109" i="7"/>
  <c r="A111" i="7" l="1"/>
  <c r="G110" i="7"/>
  <c r="H110" i="7" s="1"/>
  <c r="C110" i="7"/>
  <c r="I110" i="7"/>
  <c r="B110" i="7"/>
  <c r="F110" i="7"/>
  <c r="K110" i="7"/>
  <c r="E110" i="7"/>
  <c r="J110" i="7"/>
  <c r="D110" i="7"/>
  <c r="A112" i="7" l="1"/>
  <c r="J111" i="7"/>
  <c r="F111" i="7"/>
  <c r="B111" i="7"/>
  <c r="I111" i="7"/>
  <c r="D111" i="7"/>
  <c r="C111" i="7"/>
  <c r="G111" i="7"/>
  <c r="H111" i="7" s="1"/>
  <c r="E111" i="7"/>
  <c r="K111" i="7"/>
  <c r="A113" i="7" l="1"/>
  <c r="I112" i="7"/>
  <c r="D112" i="7"/>
  <c r="K112" i="7"/>
  <c r="E112" i="7"/>
  <c r="J112" i="7"/>
  <c r="C112" i="7"/>
  <c r="G112" i="7"/>
  <c r="H112" i="7" s="1"/>
  <c r="B112" i="7"/>
  <c r="F112" i="7"/>
  <c r="A114" i="7" l="1"/>
  <c r="K113" i="7"/>
  <c r="G113" i="7"/>
  <c r="H113" i="7" s="1"/>
  <c r="C113" i="7"/>
  <c r="F113" i="7"/>
  <c r="J113" i="7"/>
  <c r="E113" i="7"/>
  <c r="I113" i="7"/>
  <c r="D113" i="7"/>
  <c r="B113" i="7"/>
  <c r="A115" i="7" l="1"/>
  <c r="J114" i="7"/>
  <c r="E114" i="7"/>
  <c r="G114" i="7"/>
  <c r="H114" i="7" s="1"/>
  <c r="B114" i="7"/>
  <c r="F114" i="7"/>
  <c r="K114" i="7"/>
  <c r="D114" i="7"/>
  <c r="I114" i="7"/>
  <c r="C114" i="7"/>
  <c r="A116" i="7" l="1"/>
  <c r="D115" i="7"/>
  <c r="I115" i="7"/>
  <c r="C115" i="7"/>
  <c r="G115" i="7"/>
  <c r="H115" i="7" s="1"/>
  <c r="B115" i="7"/>
  <c r="K115" i="7"/>
  <c r="F115" i="7"/>
  <c r="J115" i="7"/>
  <c r="E115" i="7"/>
  <c r="A117" i="7" l="1"/>
  <c r="K116" i="7"/>
  <c r="F116" i="7"/>
  <c r="B116" i="7"/>
  <c r="J116" i="7"/>
  <c r="D116" i="7"/>
  <c r="I116" i="7"/>
  <c r="C116" i="7"/>
  <c r="G116" i="7"/>
  <c r="H116" i="7" s="1"/>
  <c r="E116" i="7"/>
  <c r="A118" i="7" l="1"/>
  <c r="I117" i="7"/>
  <c r="E117" i="7"/>
  <c r="K117" i="7"/>
  <c r="F117" i="7"/>
  <c r="J117" i="7"/>
  <c r="D117" i="7"/>
  <c r="C117" i="7"/>
  <c r="G117" i="7"/>
  <c r="H117" i="7" s="1"/>
  <c r="B117" i="7"/>
  <c r="A119" i="7" l="1"/>
  <c r="G118" i="7"/>
  <c r="H118" i="7" s="1"/>
  <c r="C118" i="7"/>
  <c r="F118" i="7"/>
  <c r="K118" i="7"/>
  <c r="E118" i="7"/>
  <c r="J118" i="7"/>
  <c r="D118" i="7"/>
  <c r="B118" i="7"/>
  <c r="I118" i="7"/>
  <c r="A120" i="7" l="1"/>
  <c r="J119" i="7"/>
  <c r="F119" i="7"/>
  <c r="B119" i="7"/>
  <c r="C119" i="7"/>
  <c r="G119" i="7"/>
  <c r="H119" i="7" s="1"/>
  <c r="K119" i="7"/>
  <c r="E119" i="7"/>
  <c r="I119" i="7"/>
  <c r="D119" i="7"/>
  <c r="A121" i="7" l="1"/>
  <c r="I120" i="7"/>
  <c r="D120" i="7"/>
  <c r="J120" i="7"/>
  <c r="C120" i="7"/>
  <c r="G120" i="7"/>
  <c r="H120" i="7" s="1"/>
  <c r="B120" i="7"/>
  <c r="F120" i="7"/>
  <c r="E120" i="7"/>
  <c r="K120" i="7"/>
  <c r="A122" i="7" l="1"/>
  <c r="K121" i="7"/>
  <c r="G121" i="7"/>
  <c r="H121" i="7" s="1"/>
  <c r="C121" i="7"/>
  <c r="J121" i="7"/>
  <c r="E121" i="7"/>
  <c r="I121" i="7"/>
  <c r="D121" i="7"/>
  <c r="B121" i="7"/>
  <c r="F121" i="7"/>
  <c r="A123" i="7" l="1"/>
  <c r="J122" i="7"/>
  <c r="E122" i="7"/>
  <c r="F122" i="7"/>
  <c r="K122" i="7"/>
  <c r="D122" i="7"/>
  <c r="I122" i="7"/>
  <c r="C122" i="7"/>
  <c r="G122" i="7"/>
  <c r="H122" i="7" s="1"/>
  <c r="B122" i="7"/>
  <c r="A124" i="7" l="1"/>
  <c r="D123" i="7"/>
  <c r="G123" i="7"/>
  <c r="H123" i="7" s="1"/>
  <c r="B123" i="7"/>
  <c r="K123" i="7"/>
  <c r="F123" i="7"/>
  <c r="J123" i="7"/>
  <c r="E123" i="7"/>
  <c r="I123" i="7"/>
  <c r="C123" i="7"/>
  <c r="A125" i="7" l="1"/>
  <c r="K124" i="7"/>
  <c r="F124" i="7"/>
  <c r="B124" i="7"/>
  <c r="I124" i="7"/>
  <c r="C124" i="7"/>
  <c r="G124" i="7"/>
  <c r="H124" i="7" s="1"/>
  <c r="E124" i="7"/>
  <c r="J124" i="7"/>
  <c r="D124" i="7"/>
  <c r="A126" i="7" l="1"/>
  <c r="I125" i="7"/>
  <c r="E125" i="7"/>
  <c r="J125" i="7"/>
  <c r="D125" i="7"/>
  <c r="C125" i="7"/>
  <c r="G125" i="7"/>
  <c r="H125" i="7" s="1"/>
  <c r="B125" i="7"/>
  <c r="K125" i="7"/>
  <c r="F125" i="7"/>
  <c r="A127" i="7" l="1"/>
  <c r="G126" i="7"/>
  <c r="H126" i="7" s="1"/>
  <c r="C126" i="7"/>
  <c r="K126" i="7"/>
  <c r="E126" i="7"/>
  <c r="J126" i="7"/>
  <c r="D126" i="7"/>
  <c r="I126" i="7"/>
  <c r="B126" i="7"/>
  <c r="F126" i="7"/>
  <c r="A128" i="7" l="1"/>
  <c r="J127" i="7"/>
  <c r="F127" i="7"/>
  <c r="B127" i="7"/>
  <c r="G127" i="7"/>
  <c r="H127" i="7" s="1"/>
  <c r="K127" i="7"/>
  <c r="E127" i="7"/>
  <c r="I127" i="7"/>
  <c r="D127" i="7"/>
  <c r="C127" i="7"/>
  <c r="A129" i="7" l="1"/>
  <c r="I128" i="7"/>
  <c r="D128" i="7"/>
  <c r="G128" i="7"/>
  <c r="H128" i="7" s="1"/>
  <c r="B128" i="7"/>
  <c r="F128" i="7"/>
  <c r="K128" i="7"/>
  <c r="E128" i="7"/>
  <c r="J128" i="7"/>
  <c r="C128" i="7"/>
  <c r="A130" i="7" l="1"/>
  <c r="K129" i="7"/>
  <c r="G129" i="7"/>
  <c r="H129" i="7" s="1"/>
  <c r="C129" i="7"/>
  <c r="I129" i="7"/>
  <c r="D129" i="7"/>
  <c r="B129" i="7"/>
  <c r="F129" i="7"/>
  <c r="E129" i="7"/>
  <c r="J129" i="7"/>
  <c r="A131" i="7" l="1"/>
  <c r="J130" i="7"/>
  <c r="E130" i="7"/>
  <c r="K130" i="7"/>
  <c r="D130" i="7"/>
  <c r="I130" i="7"/>
  <c r="C130" i="7"/>
  <c r="G130" i="7"/>
  <c r="H130" i="7" s="1"/>
  <c r="B130" i="7"/>
  <c r="F130" i="7"/>
  <c r="A132" i="7" l="1"/>
  <c r="D131" i="7"/>
  <c r="K131" i="7"/>
  <c r="F131" i="7"/>
  <c r="J131" i="7"/>
  <c r="E131" i="7"/>
  <c r="I131" i="7"/>
  <c r="C131" i="7"/>
  <c r="G131" i="7"/>
  <c r="H131" i="7" s="1"/>
  <c r="B131" i="7"/>
  <c r="A133" i="7" l="1"/>
  <c r="K132" i="7"/>
  <c r="F132" i="7"/>
  <c r="B132" i="7"/>
  <c r="G132" i="7"/>
  <c r="H132" i="7" s="1"/>
  <c r="E132" i="7"/>
  <c r="J132" i="7"/>
  <c r="D132" i="7"/>
  <c r="I132" i="7"/>
  <c r="C132" i="7"/>
  <c r="A134" i="7" l="1"/>
  <c r="I133" i="7"/>
  <c r="E133" i="7"/>
  <c r="C133" i="7"/>
  <c r="G133" i="7"/>
  <c r="H133" i="7" s="1"/>
  <c r="B133" i="7"/>
  <c r="K133" i="7"/>
  <c r="F133" i="7"/>
  <c r="J133" i="7"/>
  <c r="D133" i="7"/>
  <c r="A135" i="7" l="1"/>
  <c r="G134" i="7"/>
  <c r="H134" i="7" s="1"/>
  <c r="C134" i="7"/>
  <c r="J134" i="7"/>
  <c r="D134" i="7"/>
  <c r="I134" i="7"/>
  <c r="B134" i="7"/>
  <c r="F134" i="7"/>
  <c r="K134" i="7"/>
  <c r="E134" i="7"/>
  <c r="A136" i="7" l="1"/>
  <c r="J135" i="7"/>
  <c r="F135" i="7"/>
  <c r="B135" i="7"/>
  <c r="K135" i="7"/>
  <c r="E135" i="7"/>
  <c r="I135" i="7"/>
  <c r="D135" i="7"/>
  <c r="C135" i="7"/>
  <c r="G135" i="7"/>
  <c r="H135" i="7" s="1"/>
  <c r="A137" i="7" l="1"/>
  <c r="I136" i="7"/>
  <c r="D136" i="7"/>
  <c r="F136" i="7"/>
  <c r="K136" i="7"/>
  <c r="E136" i="7"/>
  <c r="J136" i="7"/>
  <c r="C136" i="7"/>
  <c r="B136" i="7"/>
  <c r="G136" i="7"/>
  <c r="H136" i="7" s="1"/>
  <c r="A138" i="7" l="1"/>
  <c r="K137" i="7"/>
  <c r="G137" i="7"/>
  <c r="H137" i="7" s="1"/>
  <c r="C137" i="7"/>
  <c r="B137" i="7"/>
  <c r="F137" i="7"/>
  <c r="J137" i="7"/>
  <c r="E137" i="7"/>
  <c r="I137" i="7"/>
  <c r="D137" i="7"/>
  <c r="A139" i="7" l="1"/>
  <c r="J138" i="7"/>
  <c r="E138" i="7"/>
  <c r="I138" i="7"/>
  <c r="C138" i="7"/>
  <c r="G138" i="7"/>
  <c r="H138" i="7" s="1"/>
  <c r="B138" i="7"/>
  <c r="F138" i="7"/>
  <c r="D138" i="7"/>
  <c r="K138" i="7"/>
  <c r="A140" i="7" l="1"/>
  <c r="D139" i="7"/>
  <c r="J139" i="7"/>
  <c r="E139" i="7"/>
  <c r="I139" i="7"/>
  <c r="C139" i="7"/>
  <c r="G139" i="7"/>
  <c r="H139" i="7" s="1"/>
  <c r="B139" i="7"/>
  <c r="K139" i="7"/>
  <c r="F139" i="7"/>
  <c r="A141" i="7" l="1"/>
  <c r="K140" i="7"/>
  <c r="F140" i="7"/>
  <c r="B140" i="7"/>
  <c r="E140" i="7"/>
  <c r="J140" i="7"/>
  <c r="D140" i="7"/>
  <c r="I140" i="7"/>
  <c r="C140" i="7"/>
  <c r="G140" i="7"/>
  <c r="H140" i="7" s="1"/>
  <c r="A142" i="7" l="1"/>
  <c r="I141" i="7"/>
  <c r="E141" i="7"/>
  <c r="G141" i="7"/>
  <c r="H141" i="7" s="1"/>
  <c r="B141" i="7"/>
  <c r="K141" i="7"/>
  <c r="F141" i="7"/>
  <c r="J141" i="7"/>
  <c r="D141" i="7"/>
  <c r="C141" i="7"/>
  <c r="A143" i="7" l="1"/>
  <c r="G142" i="7"/>
  <c r="H142" i="7" s="1"/>
  <c r="C142" i="7"/>
  <c r="I142" i="7"/>
  <c r="B142" i="7"/>
  <c r="F142" i="7"/>
  <c r="K142" i="7"/>
  <c r="E142" i="7"/>
  <c r="J142" i="7"/>
  <c r="D142" i="7"/>
  <c r="A144" i="7" l="1"/>
  <c r="J143" i="7"/>
  <c r="F143" i="7"/>
  <c r="B143" i="7"/>
  <c r="I143" i="7"/>
  <c r="D143" i="7"/>
  <c r="C143" i="7"/>
  <c r="G143" i="7"/>
  <c r="H143" i="7" s="1"/>
  <c r="K143" i="7"/>
  <c r="E143" i="7"/>
  <c r="A145" i="7" l="1"/>
  <c r="I144" i="7"/>
  <c r="D144" i="7"/>
  <c r="K144" i="7"/>
  <c r="E144" i="7"/>
  <c r="J144" i="7"/>
  <c r="C144" i="7"/>
  <c r="G144" i="7"/>
  <c r="H144" i="7" s="1"/>
  <c r="B144" i="7"/>
  <c r="F144" i="7"/>
  <c r="A146" i="7" l="1"/>
  <c r="K145" i="7"/>
  <c r="G145" i="7"/>
  <c r="H145" i="7" s="1"/>
  <c r="C145" i="7"/>
  <c r="F145" i="7"/>
  <c r="J145" i="7"/>
  <c r="E145" i="7"/>
  <c r="I145" i="7"/>
  <c r="D145" i="7"/>
  <c r="B145" i="7"/>
  <c r="A147" i="7" l="1"/>
  <c r="J146" i="7"/>
  <c r="E146" i="7"/>
  <c r="G146" i="7"/>
  <c r="H146" i="7" s="1"/>
  <c r="B146" i="7"/>
  <c r="F146" i="7"/>
  <c r="K146" i="7"/>
  <c r="D146" i="7"/>
  <c r="I146" i="7"/>
  <c r="C146" i="7"/>
  <c r="A148" i="7" l="1"/>
  <c r="D147" i="7"/>
  <c r="I147" i="7"/>
  <c r="C147" i="7"/>
  <c r="G147" i="7"/>
  <c r="H147" i="7" s="1"/>
  <c r="B147" i="7"/>
  <c r="K147" i="7"/>
  <c r="F147" i="7"/>
  <c r="E147" i="7"/>
  <c r="J147" i="7"/>
  <c r="A149" i="7" l="1"/>
  <c r="K148" i="7"/>
  <c r="F148" i="7"/>
  <c r="B148" i="7"/>
  <c r="J148" i="7"/>
  <c r="D148" i="7"/>
  <c r="I148" i="7"/>
  <c r="C148" i="7"/>
  <c r="G148" i="7"/>
  <c r="H148" i="7" s="1"/>
  <c r="E148" i="7"/>
  <c r="A150" i="7" l="1"/>
  <c r="I149" i="7"/>
  <c r="E149" i="7"/>
  <c r="K149" i="7"/>
  <c r="F149" i="7"/>
  <c r="J149" i="7"/>
  <c r="D149" i="7"/>
  <c r="C149" i="7"/>
  <c r="G149" i="7"/>
  <c r="H149" i="7" s="1"/>
  <c r="B149" i="7"/>
  <c r="A151" i="7" l="1"/>
  <c r="G150" i="7"/>
  <c r="H150" i="7" s="1"/>
  <c r="C150" i="7"/>
  <c r="F150" i="7"/>
  <c r="K150" i="7"/>
  <c r="E150" i="7"/>
  <c r="J150" i="7"/>
  <c r="D150" i="7"/>
  <c r="I150" i="7"/>
  <c r="B150" i="7"/>
  <c r="A152" i="7" l="1"/>
  <c r="J151" i="7"/>
  <c r="F151" i="7"/>
  <c r="B151" i="7"/>
  <c r="C151" i="7"/>
  <c r="G151" i="7"/>
  <c r="H151" i="7" s="1"/>
  <c r="K151" i="7"/>
  <c r="E151" i="7"/>
  <c r="I151" i="7"/>
  <c r="D151" i="7"/>
  <c r="A153" i="7" l="1"/>
  <c r="I152" i="7"/>
  <c r="D152" i="7"/>
  <c r="J152" i="7"/>
  <c r="C152" i="7"/>
  <c r="G152" i="7"/>
  <c r="H152" i="7" s="1"/>
  <c r="B152" i="7"/>
  <c r="F152" i="7"/>
  <c r="K152" i="7"/>
  <c r="E152" i="7"/>
  <c r="A154" i="7" l="1"/>
  <c r="K153" i="7"/>
  <c r="G153" i="7"/>
  <c r="H153" i="7" s="1"/>
  <c r="C153" i="7"/>
  <c r="J153" i="7"/>
  <c r="E153" i="7"/>
  <c r="I153" i="7"/>
  <c r="D153" i="7"/>
  <c r="B153" i="7"/>
  <c r="F153" i="7"/>
  <c r="A155" i="7" l="1"/>
  <c r="J154" i="7"/>
  <c r="E154" i="7"/>
  <c r="F154" i="7"/>
  <c r="K154" i="7"/>
  <c r="D154" i="7"/>
  <c r="I154" i="7"/>
  <c r="C154" i="7"/>
  <c r="B154" i="7"/>
  <c r="G154" i="7"/>
  <c r="H154" i="7" s="1"/>
  <c r="A156" i="7" l="1"/>
  <c r="D155" i="7"/>
  <c r="G155" i="7"/>
  <c r="H155" i="7" s="1"/>
  <c r="B155" i="7"/>
  <c r="K155" i="7"/>
  <c r="F155" i="7"/>
  <c r="J155" i="7"/>
  <c r="E155" i="7"/>
  <c r="I155" i="7"/>
  <c r="C155" i="7"/>
  <c r="A157" i="7" l="1"/>
  <c r="K156" i="7"/>
  <c r="F156" i="7"/>
  <c r="B156" i="7"/>
  <c r="I156" i="7"/>
  <c r="C156" i="7"/>
  <c r="G156" i="7"/>
  <c r="H156" i="7" s="1"/>
  <c r="E156" i="7"/>
  <c r="D156" i="7"/>
  <c r="J156" i="7"/>
  <c r="A158" i="7" l="1"/>
  <c r="I157" i="7"/>
  <c r="E157" i="7"/>
  <c r="J157" i="7"/>
  <c r="D157" i="7"/>
  <c r="C157" i="7"/>
  <c r="G157" i="7"/>
  <c r="H157" i="7" s="1"/>
  <c r="B157" i="7"/>
  <c r="K157" i="7"/>
  <c r="F157" i="7"/>
  <c r="A159" i="7" l="1"/>
  <c r="G158" i="7"/>
  <c r="H158" i="7" s="1"/>
  <c r="C158" i="7"/>
  <c r="K158" i="7"/>
  <c r="E158" i="7"/>
  <c r="J158" i="7"/>
  <c r="D158" i="7"/>
  <c r="I158" i="7"/>
  <c r="B158" i="7"/>
  <c r="F158" i="7"/>
  <c r="A160" i="7" l="1"/>
  <c r="J159" i="7"/>
  <c r="F159" i="7"/>
  <c r="B159" i="7"/>
  <c r="G159" i="7"/>
  <c r="H159" i="7" s="1"/>
  <c r="K159" i="7"/>
  <c r="E159" i="7"/>
  <c r="I159" i="7"/>
  <c r="D159" i="7"/>
  <c r="C159" i="7"/>
  <c r="A161" i="7" l="1"/>
  <c r="I160" i="7"/>
  <c r="D160" i="7"/>
  <c r="G160" i="7"/>
  <c r="H160" i="7" s="1"/>
  <c r="B160" i="7"/>
  <c r="F160" i="7"/>
  <c r="K160" i="7"/>
  <c r="E160" i="7"/>
  <c r="J160" i="7"/>
  <c r="C160" i="7"/>
  <c r="A162" i="7" l="1"/>
  <c r="K161" i="7"/>
  <c r="G161" i="7"/>
  <c r="H161" i="7" s="1"/>
  <c r="C161" i="7"/>
  <c r="I161" i="7"/>
  <c r="D161" i="7"/>
  <c r="B161" i="7"/>
  <c r="F161" i="7"/>
  <c r="J161" i="7"/>
  <c r="E161" i="7"/>
  <c r="A163" i="7" l="1"/>
  <c r="J162" i="7"/>
  <c r="E162" i="7"/>
  <c r="K162" i="7"/>
  <c r="D162" i="7"/>
  <c r="I162" i="7"/>
  <c r="C162" i="7"/>
  <c r="G162" i="7"/>
  <c r="H162" i="7" s="1"/>
  <c r="B162" i="7"/>
  <c r="F162" i="7"/>
  <c r="A164" i="7" l="1"/>
  <c r="D163" i="7"/>
  <c r="K163" i="7"/>
  <c r="F163" i="7"/>
  <c r="J163" i="7"/>
  <c r="E163" i="7"/>
  <c r="I163" i="7"/>
  <c r="C163" i="7"/>
  <c r="B163" i="7"/>
  <c r="G163" i="7"/>
  <c r="H163" i="7" s="1"/>
  <c r="A165" i="7" l="1"/>
  <c r="K164" i="7"/>
  <c r="F164" i="7"/>
  <c r="B164" i="7"/>
  <c r="G164" i="7"/>
  <c r="H164" i="7" s="1"/>
  <c r="E164" i="7"/>
  <c r="J164" i="7"/>
  <c r="D164" i="7"/>
  <c r="I164" i="7"/>
  <c r="C164" i="7"/>
  <c r="A166" i="7" l="1"/>
  <c r="I165" i="7"/>
  <c r="E165" i="7"/>
  <c r="C165" i="7"/>
  <c r="G165" i="7"/>
  <c r="H165" i="7" s="1"/>
  <c r="B165" i="7"/>
  <c r="K165" i="7"/>
  <c r="F165" i="7"/>
  <c r="D165" i="7"/>
  <c r="J165" i="7"/>
  <c r="A167" i="7" l="1"/>
  <c r="G166" i="7"/>
  <c r="H166" i="7" s="1"/>
  <c r="C166" i="7"/>
  <c r="J166" i="7"/>
  <c r="D166" i="7"/>
  <c r="I166" i="7"/>
  <c r="B166" i="7"/>
  <c r="F166" i="7"/>
  <c r="K166" i="7"/>
  <c r="E166" i="7"/>
  <c r="A168" i="7" l="1"/>
  <c r="J167" i="7"/>
  <c r="F167" i="7"/>
  <c r="B167" i="7"/>
  <c r="K167" i="7"/>
  <c r="E167" i="7"/>
  <c r="I167" i="7"/>
  <c r="D167" i="7"/>
  <c r="C167" i="7"/>
  <c r="G167" i="7"/>
  <c r="H167" i="7" s="1"/>
  <c r="A169" i="7" l="1"/>
  <c r="I168" i="7"/>
  <c r="D168" i="7"/>
  <c r="F168" i="7"/>
  <c r="K168" i="7"/>
  <c r="E168" i="7"/>
  <c r="J168" i="7"/>
  <c r="C168" i="7"/>
  <c r="G168" i="7"/>
  <c r="H168" i="7" s="1"/>
  <c r="B168" i="7"/>
  <c r="A170" i="7" l="1"/>
  <c r="K169" i="7"/>
  <c r="G169" i="7"/>
  <c r="H169" i="7" s="1"/>
  <c r="C169" i="7"/>
  <c r="B169" i="7"/>
  <c r="F169" i="7"/>
  <c r="J169" i="7"/>
  <c r="E169" i="7"/>
  <c r="I169" i="7"/>
  <c r="D169" i="7"/>
  <c r="A171" i="7" l="1"/>
  <c r="J170" i="7"/>
  <c r="E170" i="7"/>
  <c r="I170" i="7"/>
  <c r="C170" i="7"/>
  <c r="G170" i="7"/>
  <c r="H170" i="7" s="1"/>
  <c r="B170" i="7"/>
  <c r="F170" i="7"/>
  <c r="K170" i="7"/>
  <c r="D170" i="7"/>
  <c r="A172" i="7" l="1"/>
  <c r="I171" i="7"/>
  <c r="D171" i="7"/>
  <c r="G171" i="7"/>
  <c r="H171" i="7" s="1"/>
  <c r="E171" i="7"/>
  <c r="K171" i="7"/>
  <c r="C171" i="7"/>
  <c r="J171" i="7"/>
  <c r="B171" i="7"/>
  <c r="F171" i="7"/>
  <c r="A173" i="7" l="1"/>
  <c r="G172" i="7"/>
  <c r="H172" i="7" s="1"/>
  <c r="C172" i="7"/>
  <c r="J172" i="7"/>
  <c r="D172" i="7"/>
  <c r="E172" i="7"/>
  <c r="K172" i="7"/>
  <c r="B172" i="7"/>
  <c r="I172" i="7"/>
  <c r="F172" i="7"/>
  <c r="A174" i="7" l="1"/>
  <c r="J173" i="7"/>
  <c r="F173" i="7"/>
  <c r="B173" i="7"/>
  <c r="K173" i="7"/>
  <c r="E173" i="7"/>
  <c r="I173" i="7"/>
  <c r="C173" i="7"/>
  <c r="G173" i="7"/>
  <c r="H173" i="7" s="1"/>
  <c r="D173" i="7"/>
  <c r="A175" i="7" l="1"/>
  <c r="I174" i="7"/>
  <c r="D174" i="7"/>
  <c r="F174" i="7"/>
  <c r="G174" i="7"/>
  <c r="H174" i="7" s="1"/>
  <c r="E174" i="7"/>
  <c r="K174" i="7"/>
  <c r="J174" i="7"/>
  <c r="C174" i="7"/>
  <c r="B174" i="7"/>
  <c r="A176" i="7" l="1"/>
  <c r="K175" i="7"/>
  <c r="G175" i="7"/>
  <c r="H175" i="7" s="1"/>
  <c r="C175" i="7"/>
  <c r="B175" i="7"/>
  <c r="E175" i="7"/>
  <c r="J175" i="7"/>
  <c r="D175" i="7"/>
  <c r="I175" i="7"/>
  <c r="F175" i="7"/>
  <c r="A177" i="7" l="1"/>
  <c r="J176" i="7"/>
  <c r="E176" i="7"/>
  <c r="I176" i="7"/>
  <c r="C176" i="7"/>
  <c r="K176" i="7"/>
  <c r="B176" i="7"/>
  <c r="G176" i="7"/>
  <c r="H176" i="7" s="1"/>
  <c r="F176" i="7"/>
  <c r="D176" i="7"/>
  <c r="A178" i="7" l="1"/>
  <c r="D177" i="7"/>
  <c r="J177" i="7"/>
  <c r="E177" i="7"/>
  <c r="G177" i="7"/>
  <c r="H177" i="7" s="1"/>
  <c r="F177" i="7"/>
  <c r="K177" i="7"/>
  <c r="C177" i="7"/>
  <c r="B177" i="7"/>
  <c r="I177" i="7"/>
  <c r="A179" i="7" l="1"/>
  <c r="J178" i="7"/>
  <c r="F178" i="7"/>
  <c r="B178" i="7"/>
  <c r="K178" i="7"/>
  <c r="E178" i="7"/>
  <c r="D178" i="7"/>
  <c r="I178" i="7"/>
  <c r="C178" i="7"/>
  <c r="G178" i="7"/>
  <c r="H178" i="7" s="1"/>
  <c r="A180" i="7" l="1"/>
  <c r="D179" i="7"/>
  <c r="K179" i="7"/>
  <c r="F179" i="7"/>
  <c r="I179" i="7"/>
  <c r="B179" i="7"/>
  <c r="G179" i="7"/>
  <c r="H179" i="7" s="1"/>
  <c r="E179" i="7"/>
  <c r="J179" i="7"/>
  <c r="C179" i="7"/>
  <c r="A181" i="7" l="1"/>
  <c r="J180" i="7"/>
  <c r="F180" i="7"/>
  <c r="B180" i="7"/>
  <c r="G180" i="7"/>
  <c r="H180" i="7" s="1"/>
  <c r="E180" i="7"/>
  <c r="K180" i="7"/>
  <c r="D180" i="7"/>
  <c r="I180" i="7"/>
  <c r="C180" i="7"/>
  <c r="A182" i="7" l="1"/>
  <c r="D181" i="7"/>
  <c r="G181" i="7"/>
  <c r="H181" i="7" s="1"/>
  <c r="B181" i="7"/>
  <c r="J181" i="7"/>
  <c r="C181" i="7"/>
  <c r="I181" i="7"/>
  <c r="F181" i="7"/>
  <c r="K181" i="7"/>
  <c r="E181" i="7"/>
  <c r="A183" i="7" l="1"/>
  <c r="J182" i="7"/>
  <c r="F182" i="7"/>
  <c r="B182" i="7"/>
  <c r="C182" i="7"/>
  <c r="G182" i="7"/>
  <c r="H182" i="7" s="1"/>
  <c r="E182" i="7"/>
  <c r="K182" i="7"/>
  <c r="D182" i="7"/>
  <c r="I182" i="7"/>
  <c r="A184" i="7" l="1"/>
  <c r="D183" i="7"/>
  <c r="I183" i="7"/>
  <c r="C183" i="7"/>
  <c r="K183" i="7"/>
  <c r="E183" i="7"/>
  <c r="J183" i="7"/>
  <c r="B183" i="7"/>
  <c r="G183" i="7"/>
  <c r="H183" i="7" s="1"/>
  <c r="F183" i="7"/>
  <c r="A185" i="7" l="1"/>
  <c r="J184" i="7"/>
  <c r="F184" i="7"/>
  <c r="B184" i="7"/>
  <c r="I184" i="7"/>
  <c r="D184" i="7"/>
  <c r="G184" i="7"/>
  <c r="H184" i="7" s="1"/>
  <c r="E184" i="7"/>
  <c r="K184" i="7"/>
  <c r="C184" i="7"/>
  <c r="A186" i="7" l="1"/>
  <c r="D185" i="7"/>
  <c r="J185" i="7"/>
  <c r="E185" i="7"/>
  <c r="F185" i="7"/>
  <c r="K185" i="7"/>
  <c r="C185" i="7"/>
  <c r="I185" i="7"/>
  <c r="B185" i="7"/>
  <c r="G185" i="7"/>
  <c r="H185" i="7" s="1"/>
  <c r="A187" i="7" l="1"/>
  <c r="J186" i="7"/>
  <c r="F186" i="7"/>
  <c r="B186" i="7"/>
  <c r="K186" i="7"/>
  <c r="E186" i="7"/>
  <c r="I186" i="7"/>
  <c r="C186" i="7"/>
  <c r="G186" i="7"/>
  <c r="H186" i="7" s="1"/>
  <c r="D186" i="7"/>
  <c r="A188" i="7" l="1"/>
  <c r="D187" i="7"/>
  <c r="K187" i="7"/>
  <c r="F187" i="7"/>
  <c r="G187" i="7"/>
  <c r="H187" i="7" s="1"/>
  <c r="E187" i="7"/>
  <c r="J187" i="7"/>
  <c r="C187" i="7"/>
  <c r="I187" i="7"/>
  <c r="B187" i="7"/>
  <c r="A189" i="7" l="1"/>
  <c r="J188" i="7"/>
  <c r="F188" i="7"/>
  <c r="B188" i="7"/>
  <c r="G188" i="7"/>
  <c r="H188" i="7" s="1"/>
  <c r="K188" i="7"/>
  <c r="D188" i="7"/>
  <c r="I188" i="7"/>
  <c r="C188" i="7"/>
  <c r="E188" i="7"/>
  <c r="A190" i="7" l="1"/>
  <c r="D189" i="7"/>
  <c r="G189" i="7"/>
  <c r="H189" i="7" s="1"/>
  <c r="B189" i="7"/>
  <c r="I189" i="7"/>
  <c r="F189" i="7"/>
  <c r="K189" i="7"/>
  <c r="E189" i="7"/>
  <c r="J189" i="7"/>
  <c r="C189" i="7"/>
  <c r="A191" i="7" l="1"/>
  <c r="K190" i="7"/>
  <c r="F190" i="7"/>
  <c r="B190" i="7"/>
  <c r="I190" i="7"/>
  <c r="C190" i="7"/>
  <c r="E190" i="7"/>
  <c r="D190" i="7"/>
  <c r="J190" i="7"/>
  <c r="G190" i="7"/>
  <c r="H190" i="7" s="1"/>
  <c r="A192" i="7" l="1"/>
  <c r="J191" i="7"/>
  <c r="E191" i="7"/>
  <c r="K191" i="7"/>
  <c r="D191" i="7"/>
  <c r="C191" i="7"/>
  <c r="I191" i="7"/>
  <c r="B191" i="7"/>
  <c r="G191" i="7"/>
  <c r="H191" i="7" s="1"/>
  <c r="F191" i="7"/>
  <c r="A193" i="7" l="1"/>
  <c r="I192" i="7"/>
  <c r="D192" i="7"/>
  <c r="F192" i="7"/>
  <c r="J192" i="7"/>
  <c r="B192" i="7"/>
  <c r="G192" i="7"/>
  <c r="H192" i="7" s="1"/>
  <c r="E192" i="7"/>
  <c r="K192" i="7"/>
  <c r="C192" i="7"/>
  <c r="A194" i="7" l="1"/>
  <c r="K193" i="7"/>
  <c r="G193" i="7"/>
  <c r="H193" i="7" s="1"/>
  <c r="C193" i="7"/>
  <c r="B193" i="7"/>
  <c r="F193" i="7"/>
  <c r="E193" i="7"/>
  <c r="J193" i="7"/>
  <c r="D193" i="7"/>
  <c r="I193" i="7"/>
  <c r="A195" i="7" l="1"/>
  <c r="J194" i="7"/>
  <c r="E194" i="7"/>
  <c r="I194" i="7"/>
  <c r="C194" i="7"/>
  <c r="D194" i="7"/>
  <c r="K194" i="7"/>
  <c r="B194" i="7"/>
  <c r="G194" i="7"/>
  <c r="H194" i="7" s="1"/>
  <c r="F194" i="7"/>
  <c r="A196" i="7" l="1"/>
  <c r="I195" i="7"/>
  <c r="D195" i="7"/>
  <c r="K195" i="7"/>
  <c r="E195" i="7"/>
  <c r="J195" i="7"/>
  <c r="B195" i="7"/>
  <c r="G195" i="7"/>
  <c r="H195" i="7" s="1"/>
  <c r="F195" i="7"/>
  <c r="C195" i="7"/>
  <c r="A197" i="7" l="1"/>
  <c r="G196" i="7"/>
  <c r="H196" i="7" s="1"/>
  <c r="C196" i="7"/>
  <c r="F196" i="7"/>
  <c r="I196" i="7"/>
  <c r="E196" i="7"/>
  <c r="K196" i="7"/>
  <c r="D196" i="7"/>
  <c r="J196" i="7"/>
  <c r="B196" i="7"/>
  <c r="A198" i="7" l="1"/>
  <c r="K197" i="7"/>
  <c r="F197" i="7"/>
  <c r="B197" i="7"/>
  <c r="I197" i="7"/>
  <c r="C197" i="7"/>
  <c r="E197" i="7"/>
  <c r="D197" i="7"/>
  <c r="J197" i="7"/>
  <c r="G197" i="7"/>
  <c r="H197" i="7" s="1"/>
  <c r="A199" i="7" l="1"/>
  <c r="J198" i="7"/>
  <c r="E198" i="7"/>
  <c r="K198" i="7"/>
  <c r="D198" i="7"/>
  <c r="C198" i="7"/>
  <c r="I198" i="7"/>
  <c r="B198" i="7"/>
  <c r="G198" i="7"/>
  <c r="H198" i="7" s="1"/>
  <c r="F198" i="7"/>
  <c r="A200" i="7" l="1"/>
  <c r="I199" i="7"/>
  <c r="D199" i="7"/>
  <c r="F199" i="7"/>
  <c r="J199" i="7"/>
  <c r="B199" i="7"/>
  <c r="G199" i="7"/>
  <c r="H199" i="7" s="1"/>
  <c r="E199" i="7"/>
  <c r="K199" i="7"/>
  <c r="C199" i="7"/>
  <c r="A201" i="7" l="1"/>
  <c r="G200" i="7"/>
  <c r="H200" i="7" s="1"/>
  <c r="C200" i="7"/>
  <c r="I200" i="7"/>
  <c r="B200" i="7"/>
  <c r="F200" i="7"/>
  <c r="E200" i="7"/>
  <c r="K200" i="7"/>
  <c r="D200" i="7"/>
  <c r="J200" i="7"/>
  <c r="A202" i="7" l="1"/>
  <c r="K201" i="7"/>
  <c r="F201" i="7"/>
  <c r="B201" i="7"/>
  <c r="J201" i="7"/>
  <c r="D201" i="7"/>
  <c r="E201" i="7"/>
  <c r="C201" i="7"/>
  <c r="I201" i="7"/>
  <c r="G201" i="7"/>
  <c r="H201" i="7" s="1"/>
  <c r="A203" i="7" l="1"/>
  <c r="J202" i="7"/>
  <c r="E202" i="7"/>
  <c r="F202" i="7"/>
  <c r="K202" i="7"/>
  <c r="C202" i="7"/>
  <c r="I202" i="7"/>
  <c r="B202" i="7"/>
  <c r="G202" i="7"/>
  <c r="H202" i="7" s="1"/>
  <c r="D202" i="7"/>
  <c r="A204" i="7" l="1"/>
  <c r="I203" i="7"/>
  <c r="D203" i="7"/>
  <c r="G203" i="7"/>
  <c r="H203" i="7" s="1"/>
  <c r="B203" i="7"/>
  <c r="J203" i="7"/>
  <c r="F203" i="7"/>
  <c r="E203" i="7"/>
  <c r="K203" i="7"/>
  <c r="C203" i="7"/>
  <c r="A205" i="7" l="1"/>
  <c r="G204" i="7"/>
  <c r="H204" i="7" s="1"/>
  <c r="C204" i="7"/>
  <c r="J204" i="7"/>
  <c r="D204" i="7"/>
  <c r="F204" i="7"/>
  <c r="E204" i="7"/>
  <c r="K204" i="7"/>
  <c r="B204" i="7"/>
  <c r="I204" i="7"/>
  <c r="A206" i="7" l="1"/>
  <c r="K205" i="7"/>
  <c r="F205" i="7"/>
  <c r="B205" i="7"/>
  <c r="E205" i="7"/>
  <c r="D205" i="7"/>
  <c r="J205" i="7"/>
  <c r="C205" i="7"/>
  <c r="I205" i="7"/>
  <c r="G205" i="7"/>
  <c r="H205" i="7" s="1"/>
  <c r="A207" i="7" l="1"/>
  <c r="J206" i="7"/>
  <c r="E206" i="7"/>
  <c r="G206" i="7"/>
  <c r="H206" i="7" s="1"/>
  <c r="B206" i="7"/>
  <c r="K206" i="7"/>
  <c r="C206" i="7"/>
  <c r="I206" i="7"/>
  <c r="F206" i="7"/>
  <c r="D206" i="7"/>
  <c r="A208" i="7" l="1"/>
  <c r="I207" i="7"/>
  <c r="D207" i="7"/>
  <c r="J207" i="7"/>
  <c r="C207" i="7"/>
  <c r="G207" i="7"/>
  <c r="H207" i="7" s="1"/>
  <c r="F207" i="7"/>
  <c r="E207" i="7"/>
  <c r="B207" i="7"/>
  <c r="K207" i="7"/>
  <c r="A209" i="7" l="1"/>
  <c r="G208" i="7"/>
  <c r="H208" i="7" s="1"/>
  <c r="C208" i="7"/>
  <c r="K208" i="7"/>
  <c r="E208" i="7"/>
  <c r="F208" i="7"/>
  <c r="D208" i="7"/>
  <c r="J208" i="7"/>
  <c r="B208" i="7"/>
  <c r="I208" i="7"/>
  <c r="A210" i="7" l="1"/>
  <c r="K209" i="7"/>
  <c r="F209" i="7"/>
  <c r="B209" i="7"/>
  <c r="G209" i="7"/>
  <c r="H209" i="7" s="1"/>
  <c r="D209" i="7"/>
  <c r="J209" i="7"/>
  <c r="C209" i="7"/>
  <c r="I209" i="7"/>
  <c r="E209" i="7"/>
  <c r="A211" i="7" l="1"/>
  <c r="J210" i="7"/>
  <c r="E210" i="7"/>
  <c r="I210" i="7"/>
  <c r="C210" i="7"/>
  <c r="K210" i="7"/>
  <c r="B210" i="7"/>
  <c r="G210" i="7"/>
  <c r="H210" i="7" s="1"/>
  <c r="F210" i="7"/>
  <c r="D210" i="7"/>
  <c r="A212" i="7" l="1"/>
  <c r="I211" i="7"/>
  <c r="D211" i="7"/>
  <c r="K211" i="7"/>
  <c r="E211" i="7"/>
  <c r="G211" i="7"/>
  <c r="H211" i="7" s="1"/>
  <c r="F211" i="7"/>
  <c r="C211" i="7"/>
  <c r="J211" i="7"/>
  <c r="B211" i="7"/>
  <c r="A213" i="7" l="1"/>
  <c r="G212" i="7"/>
  <c r="H212" i="7" s="1"/>
  <c r="C212" i="7"/>
  <c r="F212" i="7"/>
  <c r="E212" i="7"/>
  <c r="K212" i="7"/>
  <c r="D212" i="7"/>
  <c r="J212" i="7"/>
  <c r="B212" i="7"/>
  <c r="I212" i="7"/>
  <c r="A214" i="7" l="1"/>
  <c r="K213" i="7"/>
  <c r="F213" i="7"/>
  <c r="B213" i="7"/>
  <c r="I213" i="7"/>
  <c r="C213" i="7"/>
  <c r="D213" i="7"/>
  <c r="J213" i="7"/>
  <c r="G213" i="7"/>
  <c r="H213" i="7" s="1"/>
  <c r="E213" i="7"/>
  <c r="A215" i="7" l="1"/>
  <c r="J214" i="7"/>
  <c r="E214" i="7"/>
  <c r="K214" i="7"/>
  <c r="D214" i="7"/>
  <c r="I214" i="7"/>
  <c r="B214" i="7"/>
  <c r="G214" i="7"/>
  <c r="H214" i="7" s="1"/>
  <c r="F214" i="7"/>
  <c r="C214" i="7"/>
  <c r="A216" i="7" l="1"/>
  <c r="I215" i="7"/>
  <c r="D215" i="7"/>
  <c r="F215" i="7"/>
  <c r="G215" i="7"/>
  <c r="H215" i="7" s="1"/>
  <c r="E215" i="7"/>
  <c r="K215" i="7"/>
  <c r="C215" i="7"/>
  <c r="J215" i="7"/>
  <c r="B215" i="7"/>
  <c r="A217" i="7" l="1"/>
  <c r="G216" i="7"/>
  <c r="H216" i="7" s="1"/>
  <c r="C216" i="7"/>
  <c r="I216" i="7"/>
  <c r="B216" i="7"/>
  <c r="E216" i="7"/>
  <c r="K216" i="7"/>
  <c r="D216" i="7"/>
  <c r="J216" i="7"/>
  <c r="F216" i="7"/>
  <c r="A218" i="7" l="1"/>
  <c r="K217" i="7"/>
  <c r="F217" i="7"/>
  <c r="B217" i="7"/>
  <c r="J217" i="7"/>
  <c r="D217" i="7"/>
  <c r="C217" i="7"/>
  <c r="I217" i="7"/>
  <c r="G217" i="7"/>
  <c r="H217" i="7" s="1"/>
  <c r="E217" i="7"/>
  <c r="A219" i="7" l="1"/>
  <c r="J218" i="7"/>
  <c r="E218" i="7"/>
  <c r="F218" i="7"/>
  <c r="I218" i="7"/>
  <c r="B218" i="7"/>
  <c r="G218" i="7"/>
  <c r="H218" i="7" s="1"/>
  <c r="D218" i="7"/>
  <c r="K218" i="7"/>
  <c r="C218" i="7"/>
  <c r="A220" i="7" l="1"/>
  <c r="I219" i="7"/>
  <c r="D219" i="7"/>
  <c r="G219" i="7"/>
  <c r="H219" i="7" s="1"/>
  <c r="B219" i="7"/>
  <c r="F219" i="7"/>
  <c r="E219" i="7"/>
  <c r="K219" i="7"/>
  <c r="C219" i="7"/>
  <c r="J219" i="7"/>
  <c r="A221" i="7" l="1"/>
  <c r="G220" i="7"/>
  <c r="H220" i="7" s="1"/>
  <c r="C220" i="7"/>
  <c r="J220" i="7"/>
  <c r="D220" i="7"/>
  <c r="E220" i="7"/>
  <c r="K220" i="7"/>
  <c r="B220" i="7"/>
  <c r="I220" i="7"/>
  <c r="F220" i="7"/>
  <c r="A222" i="7" l="1"/>
  <c r="K221" i="7"/>
  <c r="F221" i="7"/>
  <c r="B221" i="7"/>
  <c r="E221" i="7"/>
  <c r="J221" i="7"/>
  <c r="C221" i="7"/>
  <c r="I221" i="7"/>
  <c r="G221" i="7"/>
  <c r="H221" i="7" s="1"/>
  <c r="D221" i="7"/>
  <c r="A223" i="7" l="1"/>
  <c r="J222" i="7"/>
  <c r="E222" i="7"/>
  <c r="G222" i="7"/>
  <c r="H222" i="7" s="1"/>
  <c r="B222" i="7"/>
  <c r="I222" i="7"/>
  <c r="F222" i="7"/>
  <c r="D222" i="7"/>
  <c r="K222" i="7"/>
  <c r="C222" i="7"/>
  <c r="A224" i="7" l="1"/>
  <c r="I223" i="7"/>
  <c r="D223" i="7"/>
  <c r="J223" i="7"/>
  <c r="C223" i="7"/>
  <c r="F223" i="7"/>
  <c r="E223" i="7"/>
  <c r="K223" i="7"/>
  <c r="B223" i="7"/>
  <c r="G223" i="7"/>
  <c r="H223" i="7" s="1"/>
  <c r="A225" i="7" l="1"/>
  <c r="G224" i="7"/>
  <c r="H224" i="7" s="1"/>
  <c r="C224" i="7"/>
  <c r="K224" i="7"/>
  <c r="E224" i="7"/>
  <c r="D224" i="7"/>
  <c r="J224" i="7"/>
  <c r="B224" i="7"/>
  <c r="I224" i="7"/>
  <c r="F224" i="7"/>
  <c r="A226" i="7" l="1"/>
  <c r="K225" i="7"/>
  <c r="F225" i="7"/>
  <c r="B225" i="7"/>
  <c r="G225" i="7"/>
  <c r="H225" i="7" s="1"/>
  <c r="J225" i="7"/>
  <c r="C225" i="7"/>
  <c r="I225" i="7"/>
  <c r="E225" i="7"/>
  <c r="D225" i="7"/>
  <c r="A227" i="7" l="1"/>
  <c r="J226" i="7"/>
  <c r="E226" i="7"/>
  <c r="I226" i="7"/>
  <c r="C226" i="7"/>
  <c r="G226" i="7"/>
  <c r="H226" i="7" s="1"/>
  <c r="F226" i="7"/>
  <c r="D226" i="7"/>
  <c r="B226" i="7"/>
  <c r="K226" i="7"/>
  <c r="A228" i="7" l="1"/>
  <c r="I227" i="7"/>
  <c r="D227" i="7"/>
  <c r="K227" i="7"/>
  <c r="E227" i="7"/>
  <c r="F227" i="7"/>
  <c r="C227" i="7"/>
  <c r="J227" i="7"/>
  <c r="B227" i="7"/>
  <c r="G227" i="7"/>
  <c r="H227" i="7" s="1"/>
  <c r="A229" i="7" l="1"/>
  <c r="G228" i="7"/>
  <c r="H228" i="7" s="1"/>
  <c r="C228" i="7"/>
  <c r="F228" i="7"/>
  <c r="K228" i="7"/>
  <c r="D228" i="7"/>
  <c r="J228" i="7"/>
  <c r="B228" i="7"/>
  <c r="I228" i="7"/>
  <c r="E228" i="7"/>
  <c r="A230" i="7" l="1"/>
  <c r="K229" i="7"/>
  <c r="F229" i="7"/>
  <c r="B229" i="7"/>
  <c r="I229" i="7"/>
  <c r="C229" i="7"/>
  <c r="J229" i="7"/>
  <c r="G229" i="7"/>
  <c r="H229" i="7" s="1"/>
  <c r="E229" i="7"/>
  <c r="D229" i="7"/>
  <c r="A231" i="7" l="1"/>
  <c r="J230" i="7"/>
  <c r="E230" i="7"/>
  <c r="K230" i="7"/>
  <c r="D230" i="7"/>
  <c r="G230" i="7"/>
  <c r="H230" i="7" s="1"/>
  <c r="F230" i="7"/>
  <c r="C230" i="7"/>
  <c r="I230" i="7"/>
  <c r="B230" i="7"/>
  <c r="A232" i="7" l="1"/>
  <c r="I231" i="7"/>
  <c r="D231" i="7"/>
  <c r="F231" i="7"/>
  <c r="E231" i="7"/>
  <c r="K231" i="7"/>
  <c r="C231" i="7"/>
  <c r="J231" i="7"/>
  <c r="B231" i="7"/>
  <c r="G231" i="7"/>
  <c r="H231" i="7" s="1"/>
  <c r="A233" i="7" l="1"/>
  <c r="G232" i="7"/>
  <c r="H232" i="7" s="1"/>
  <c r="C232" i="7"/>
  <c r="I232" i="7"/>
  <c r="B232" i="7"/>
  <c r="K232" i="7"/>
  <c r="D232" i="7"/>
  <c r="J232" i="7"/>
  <c r="F232" i="7"/>
  <c r="E232" i="7"/>
  <c r="K233" i="7" l="1"/>
  <c r="F233" i="7"/>
  <c r="B233" i="7"/>
  <c r="J233" i="7"/>
  <c r="D233" i="7"/>
  <c r="I233" i="7"/>
  <c r="G233" i="7"/>
  <c r="H233" i="7" s="1"/>
  <c r="E233" i="7"/>
  <c r="C233" i="7"/>
  <c r="A234" i="7"/>
  <c r="J234" i="7" l="1"/>
  <c r="E234" i="7"/>
  <c r="F234" i="7"/>
  <c r="G234" i="7"/>
  <c r="H234" i="7" s="1"/>
  <c r="D234" i="7"/>
  <c r="K234" i="7"/>
  <c r="C234" i="7"/>
  <c r="I234" i="7"/>
  <c r="B234" i="7"/>
  <c r="A235" i="7"/>
  <c r="A236" i="7" l="1"/>
  <c r="I235" i="7"/>
  <c r="D235" i="7"/>
  <c r="G235" i="7"/>
  <c r="H235" i="7" s="1"/>
  <c r="B235" i="7"/>
  <c r="E235" i="7"/>
  <c r="K235" i="7"/>
  <c r="C235" i="7"/>
  <c r="J235" i="7"/>
  <c r="F235" i="7"/>
  <c r="A237" i="7" l="1"/>
  <c r="G236" i="7"/>
  <c r="H236" i="7" s="1"/>
  <c r="C236" i="7"/>
  <c r="J236" i="7"/>
  <c r="D236" i="7"/>
  <c r="K236" i="7"/>
  <c r="B236" i="7"/>
  <c r="I236" i="7"/>
  <c r="F236" i="7"/>
  <c r="E236" i="7"/>
  <c r="A238" i="7" l="1"/>
  <c r="K237" i="7"/>
  <c r="F237" i="7"/>
  <c r="B237" i="7"/>
  <c r="E237" i="7"/>
  <c r="I237" i="7"/>
  <c r="G237" i="7"/>
  <c r="H237" i="7" s="1"/>
  <c r="D237" i="7"/>
  <c r="J237" i="7"/>
  <c r="C237" i="7"/>
  <c r="A239" i="7" l="1"/>
  <c r="J238" i="7"/>
  <c r="E238" i="7"/>
  <c r="G238" i="7"/>
  <c r="H238" i="7" s="1"/>
  <c r="B238" i="7"/>
  <c r="F238" i="7"/>
  <c r="D238" i="7"/>
  <c r="K238" i="7"/>
  <c r="C238" i="7"/>
  <c r="I238" i="7"/>
  <c r="A240" i="7" l="1"/>
  <c r="I239" i="7"/>
  <c r="D239" i="7"/>
  <c r="J239" i="7"/>
  <c r="C239" i="7"/>
  <c r="E239" i="7"/>
  <c r="K239" i="7"/>
  <c r="B239" i="7"/>
  <c r="G239" i="7"/>
  <c r="H239" i="7" s="1"/>
  <c r="F239" i="7"/>
  <c r="A241" i="7" l="1"/>
  <c r="G240" i="7"/>
  <c r="H240" i="7" s="1"/>
  <c r="C240" i="7"/>
  <c r="K240" i="7"/>
  <c r="E240" i="7"/>
  <c r="J240" i="7"/>
  <c r="B240" i="7"/>
  <c r="I240" i="7"/>
  <c r="F240" i="7"/>
  <c r="D240" i="7"/>
  <c r="A242" i="7" l="1"/>
  <c r="K241" i="7"/>
  <c r="F241" i="7"/>
  <c r="B241" i="7"/>
  <c r="G241" i="7"/>
  <c r="H241" i="7" s="1"/>
  <c r="I241" i="7"/>
  <c r="E241" i="7"/>
  <c r="D241" i="7"/>
  <c r="J241" i="7"/>
  <c r="C241" i="7"/>
  <c r="A243" i="7" l="1"/>
  <c r="J242" i="7"/>
  <c r="E242" i="7"/>
  <c r="I242" i="7"/>
  <c r="C242" i="7"/>
  <c r="F242" i="7"/>
  <c r="D242" i="7"/>
  <c r="K242" i="7"/>
  <c r="B242" i="7"/>
  <c r="G242" i="7"/>
  <c r="H242" i="7" s="1"/>
  <c r="A244" i="7" l="1"/>
  <c r="I243" i="7"/>
  <c r="D243" i="7"/>
  <c r="K243" i="7"/>
  <c r="E243" i="7"/>
  <c r="C243" i="7"/>
  <c r="J243" i="7"/>
  <c r="B243" i="7"/>
  <c r="G243" i="7"/>
  <c r="H243" i="7" s="1"/>
  <c r="F243" i="7"/>
  <c r="A245" i="7" l="1"/>
  <c r="G244" i="7"/>
  <c r="H244" i="7" s="1"/>
  <c r="C244" i="7"/>
  <c r="F244" i="7"/>
  <c r="J244" i="7"/>
  <c r="B244" i="7"/>
  <c r="I244" i="7"/>
  <c r="E244" i="7"/>
  <c r="K244" i="7"/>
  <c r="D244" i="7"/>
  <c r="A246" i="7" l="1"/>
  <c r="K245" i="7"/>
  <c r="F245" i="7"/>
  <c r="B245" i="7"/>
  <c r="I245" i="7"/>
  <c r="C245" i="7"/>
  <c r="G245" i="7"/>
  <c r="H245" i="7" s="1"/>
  <c r="E245" i="7"/>
  <c r="D245" i="7"/>
  <c r="J245" i="7"/>
  <c r="A247" i="7" l="1"/>
  <c r="J246" i="7"/>
  <c r="E246" i="7"/>
  <c r="K246" i="7"/>
  <c r="D246" i="7"/>
  <c r="F246" i="7"/>
  <c r="C246" i="7"/>
  <c r="I246" i="7"/>
  <c r="B246" i="7"/>
  <c r="G246" i="7"/>
  <c r="H246" i="7" s="1"/>
  <c r="A248" i="7" l="1"/>
  <c r="I247" i="7"/>
  <c r="D247" i="7"/>
  <c r="F247" i="7"/>
  <c r="K247" i="7"/>
  <c r="C247" i="7"/>
  <c r="J247" i="7"/>
  <c r="B247" i="7"/>
  <c r="G247" i="7"/>
  <c r="H247" i="7" s="1"/>
  <c r="E247" i="7"/>
  <c r="A249" i="7" l="1"/>
  <c r="G248" i="7"/>
  <c r="H248" i="7" s="1"/>
  <c r="C248" i="7"/>
  <c r="I248" i="7"/>
  <c r="B248" i="7"/>
  <c r="J248" i="7"/>
  <c r="F248" i="7"/>
  <c r="E248" i="7"/>
  <c r="D248" i="7"/>
  <c r="K248" i="7"/>
  <c r="A250" i="7" l="1"/>
  <c r="K249" i="7"/>
  <c r="F249" i="7"/>
  <c r="B249" i="7"/>
  <c r="J249" i="7"/>
  <c r="D249" i="7"/>
  <c r="G249" i="7"/>
  <c r="H249" i="7" s="1"/>
  <c r="E249" i="7"/>
  <c r="C249" i="7"/>
  <c r="I249" i="7"/>
  <c r="A251" i="7" l="1"/>
  <c r="J250" i="7"/>
  <c r="E250" i="7"/>
  <c r="F250" i="7"/>
  <c r="D250" i="7"/>
  <c r="K250" i="7"/>
  <c r="C250" i="7"/>
  <c r="I250" i="7"/>
  <c r="B250" i="7"/>
  <c r="G250" i="7"/>
  <c r="H250" i="7" s="1"/>
  <c r="A252" i="7" l="1"/>
  <c r="I251" i="7"/>
  <c r="D251" i="7"/>
  <c r="G251" i="7"/>
  <c r="H251" i="7" s="1"/>
  <c r="B251" i="7"/>
  <c r="K251" i="7"/>
  <c r="C251" i="7"/>
  <c r="J251" i="7"/>
  <c r="F251" i="7"/>
  <c r="E251" i="7"/>
  <c r="A253" i="7" l="1"/>
  <c r="G252" i="7"/>
  <c r="H252" i="7" s="1"/>
  <c r="C252" i="7"/>
  <c r="J252" i="7"/>
  <c r="D252" i="7"/>
  <c r="I252" i="7"/>
  <c r="F252" i="7"/>
  <c r="E252" i="7"/>
  <c r="K252" i="7"/>
  <c r="B252" i="7"/>
  <c r="A254" i="7" l="1"/>
  <c r="K253" i="7"/>
  <c r="F253" i="7"/>
  <c r="B253" i="7"/>
  <c r="E253" i="7"/>
  <c r="G253" i="7"/>
  <c r="H253" i="7" s="1"/>
  <c r="D253" i="7"/>
  <c r="J253" i="7"/>
  <c r="C253" i="7"/>
  <c r="I253" i="7"/>
  <c r="A255" i="7" l="1"/>
  <c r="J254" i="7"/>
  <c r="E254" i="7"/>
  <c r="G254" i="7"/>
  <c r="H254" i="7" s="1"/>
  <c r="B254" i="7"/>
  <c r="D254" i="7"/>
  <c r="K254" i="7"/>
  <c r="C254" i="7"/>
  <c r="I254" i="7"/>
  <c r="F254" i="7"/>
  <c r="A256" i="7" l="1"/>
  <c r="I255" i="7"/>
  <c r="D255" i="7"/>
  <c r="J255" i="7"/>
  <c r="C255" i="7"/>
  <c r="K255" i="7"/>
  <c r="B255" i="7"/>
  <c r="G255" i="7"/>
  <c r="H255" i="7" s="1"/>
  <c r="F255" i="7"/>
  <c r="E255" i="7"/>
  <c r="A257" i="7" l="1"/>
  <c r="G256" i="7"/>
  <c r="H256" i="7" s="1"/>
  <c r="C256" i="7"/>
  <c r="K256" i="7"/>
  <c r="E256" i="7"/>
  <c r="I256" i="7"/>
  <c r="F256" i="7"/>
  <c r="D256" i="7"/>
  <c r="J256" i="7"/>
  <c r="B256" i="7"/>
  <c r="A258" i="7" l="1"/>
  <c r="K257" i="7"/>
  <c r="F257" i="7"/>
  <c r="B257" i="7"/>
  <c r="G257" i="7"/>
  <c r="H257" i="7" s="1"/>
  <c r="E257" i="7"/>
  <c r="D257" i="7"/>
  <c r="J257" i="7"/>
  <c r="C257" i="7"/>
  <c r="I257" i="7"/>
  <c r="A259" i="7" l="1"/>
  <c r="J258" i="7"/>
  <c r="E258" i="7"/>
  <c r="I258" i="7"/>
  <c r="C258" i="7"/>
  <c r="D258" i="7"/>
  <c r="K258" i="7"/>
  <c r="B258" i="7"/>
  <c r="G258" i="7"/>
  <c r="H258" i="7" s="1"/>
  <c r="F258" i="7"/>
  <c r="A260" i="7" l="1"/>
  <c r="I259" i="7"/>
  <c r="D259" i="7"/>
  <c r="K259" i="7"/>
  <c r="E259" i="7"/>
  <c r="J259" i="7"/>
  <c r="B259" i="7"/>
  <c r="G259" i="7"/>
  <c r="H259" i="7" s="1"/>
  <c r="F259" i="7"/>
  <c r="C259" i="7"/>
  <c r="A261" i="7" l="1"/>
  <c r="G260" i="7"/>
  <c r="H260" i="7" s="1"/>
  <c r="C260" i="7"/>
  <c r="F260" i="7"/>
  <c r="I260" i="7"/>
  <c r="E260" i="7"/>
  <c r="K260" i="7"/>
  <c r="D260" i="7"/>
  <c r="J260" i="7"/>
  <c r="B260" i="7"/>
  <c r="A262" i="7" l="1"/>
  <c r="K261" i="7"/>
  <c r="F261" i="7"/>
  <c r="B261" i="7"/>
  <c r="I261" i="7"/>
  <c r="C261" i="7"/>
  <c r="E261" i="7"/>
  <c r="D261" i="7"/>
  <c r="J261" i="7"/>
  <c r="G261" i="7"/>
  <c r="H261" i="7" s="1"/>
  <c r="A263" i="7" l="1"/>
  <c r="J262" i="7"/>
  <c r="E262" i="7"/>
  <c r="K262" i="7"/>
  <c r="D262" i="7"/>
  <c r="C262" i="7"/>
  <c r="I262" i="7"/>
  <c r="B262" i="7"/>
  <c r="G262" i="7"/>
  <c r="H262" i="7" s="1"/>
  <c r="F262" i="7"/>
  <c r="A264" i="7" l="1"/>
  <c r="I263" i="7"/>
  <c r="D263" i="7"/>
  <c r="F263" i="7"/>
  <c r="J263" i="7"/>
  <c r="B263" i="7"/>
  <c r="G263" i="7"/>
  <c r="H263" i="7" s="1"/>
  <c r="E263" i="7"/>
  <c r="K263" i="7"/>
  <c r="C263" i="7"/>
  <c r="A265" i="7" l="1"/>
  <c r="J264" i="7"/>
  <c r="G264" i="7"/>
  <c r="H264" i="7" s="1"/>
  <c r="C264" i="7"/>
  <c r="I264" i="7"/>
  <c r="B264" i="7"/>
  <c r="F264" i="7"/>
  <c r="E264" i="7"/>
  <c r="D264" i="7"/>
  <c r="K264" i="7"/>
  <c r="A266" i="7" l="1"/>
  <c r="I265" i="7"/>
  <c r="D265" i="7"/>
  <c r="J265" i="7"/>
  <c r="C265" i="7"/>
  <c r="F265" i="7"/>
  <c r="G265" i="7"/>
  <c r="H265" i="7" s="1"/>
  <c r="E265" i="7"/>
  <c r="B265" i="7"/>
  <c r="K265" i="7"/>
  <c r="A267" i="7" l="1"/>
  <c r="G266" i="7"/>
  <c r="H266" i="7" s="1"/>
  <c r="C266" i="7"/>
  <c r="K266" i="7"/>
  <c r="E266" i="7"/>
  <c r="D266" i="7"/>
  <c r="I266" i="7"/>
  <c r="F266" i="7"/>
  <c r="B266" i="7"/>
  <c r="J266" i="7"/>
  <c r="A268" i="7" l="1"/>
  <c r="K267" i="7"/>
  <c r="F267" i="7"/>
  <c r="B267" i="7"/>
  <c r="G267" i="7"/>
  <c r="H267" i="7" s="1"/>
  <c r="J267" i="7"/>
  <c r="C267" i="7"/>
  <c r="I267" i="7"/>
  <c r="E267" i="7"/>
  <c r="D267" i="7"/>
  <c r="A269" i="7" l="1"/>
  <c r="J268" i="7"/>
  <c r="E268" i="7"/>
  <c r="I268" i="7"/>
  <c r="C268" i="7"/>
  <c r="G268" i="7"/>
  <c r="H268" i="7" s="1"/>
  <c r="K268" i="7"/>
  <c r="F268" i="7"/>
  <c r="D268" i="7"/>
  <c r="B268" i="7"/>
  <c r="A270" i="7" l="1"/>
  <c r="I269" i="7"/>
  <c r="D269" i="7"/>
  <c r="K269" i="7"/>
  <c r="E269" i="7"/>
  <c r="F269" i="7"/>
  <c r="J269" i="7"/>
  <c r="G269" i="7"/>
  <c r="H269" i="7" s="1"/>
  <c r="C269" i="7"/>
  <c r="B269" i="7"/>
  <c r="A271" i="7" l="1"/>
  <c r="G270" i="7"/>
  <c r="H270" i="7" s="1"/>
  <c r="C270" i="7"/>
  <c r="F270" i="7"/>
  <c r="K270" i="7"/>
  <c r="D270" i="7"/>
  <c r="J270" i="7"/>
  <c r="I270" i="7"/>
  <c r="E270" i="7"/>
  <c r="B270" i="7"/>
  <c r="A272" i="7" l="1"/>
  <c r="K271" i="7"/>
  <c r="F271" i="7"/>
  <c r="B271" i="7"/>
  <c r="I271" i="7"/>
  <c r="C271" i="7"/>
  <c r="J271" i="7"/>
  <c r="G271" i="7"/>
  <c r="H271" i="7" s="1"/>
  <c r="E271" i="7"/>
  <c r="D271" i="7"/>
  <c r="A273" i="7" l="1"/>
  <c r="J272" i="7"/>
  <c r="E272" i="7"/>
  <c r="K272" i="7"/>
  <c r="D272" i="7"/>
  <c r="G272" i="7"/>
  <c r="H272" i="7" s="1"/>
  <c r="B272" i="7"/>
  <c r="I272" i="7"/>
  <c r="F272" i="7"/>
  <c r="C272" i="7"/>
  <c r="A274" i="7" l="1"/>
  <c r="I273" i="7"/>
  <c r="D273" i="7"/>
  <c r="F273" i="7"/>
  <c r="E273" i="7"/>
  <c r="K273" i="7"/>
  <c r="B273" i="7"/>
  <c r="J273" i="7"/>
  <c r="G273" i="7"/>
  <c r="H273" i="7" s="1"/>
  <c r="C273" i="7"/>
  <c r="A275" i="7" l="1"/>
  <c r="G274" i="7"/>
  <c r="H274" i="7" s="1"/>
  <c r="C274" i="7"/>
  <c r="I274" i="7"/>
  <c r="B274" i="7"/>
  <c r="K274" i="7"/>
  <c r="D274" i="7"/>
  <c r="J274" i="7"/>
  <c r="E274" i="7"/>
  <c r="F274" i="7"/>
  <c r="A276" i="7" l="1"/>
  <c r="K275" i="7"/>
  <c r="F275" i="7"/>
  <c r="B275" i="7"/>
  <c r="J275" i="7"/>
  <c r="D275" i="7"/>
  <c r="I275" i="7"/>
  <c r="G275" i="7"/>
  <c r="H275" i="7" s="1"/>
  <c r="E275" i="7"/>
  <c r="C275" i="7"/>
  <c r="A277" i="7" l="1"/>
  <c r="J276" i="7"/>
  <c r="E276" i="7"/>
  <c r="F276" i="7"/>
  <c r="G276" i="7"/>
  <c r="H276" i="7" s="1"/>
  <c r="D276" i="7"/>
  <c r="B276" i="7"/>
  <c r="K276" i="7"/>
  <c r="I276" i="7"/>
  <c r="C276" i="7"/>
  <c r="A278" i="7" l="1"/>
  <c r="I277" i="7"/>
  <c r="D277" i="7"/>
  <c r="G277" i="7"/>
  <c r="H277" i="7" s="1"/>
  <c r="B277" i="7"/>
  <c r="E277" i="7"/>
  <c r="K277" i="7"/>
  <c r="C277" i="7"/>
  <c r="F277" i="7"/>
  <c r="J277" i="7"/>
  <c r="A279" i="7" l="1"/>
  <c r="G278" i="7"/>
  <c r="H278" i="7" s="1"/>
  <c r="C278" i="7"/>
  <c r="J278" i="7"/>
  <c r="D278" i="7"/>
  <c r="K278" i="7"/>
  <c r="B278" i="7"/>
  <c r="I278" i="7"/>
  <c r="F278" i="7"/>
  <c r="E278" i="7"/>
  <c r="A280" i="7" l="1"/>
  <c r="K279" i="7"/>
  <c r="F279" i="7"/>
  <c r="B279" i="7"/>
  <c r="E279" i="7"/>
  <c r="I279" i="7"/>
  <c r="G279" i="7"/>
  <c r="H279" i="7" s="1"/>
  <c r="C279" i="7"/>
  <c r="J279" i="7"/>
  <c r="D279" i="7"/>
  <c r="A281" i="7" l="1"/>
  <c r="J280" i="7"/>
  <c r="E280" i="7"/>
  <c r="G280" i="7"/>
  <c r="H280" i="7" s="1"/>
  <c r="B280" i="7"/>
  <c r="F280" i="7"/>
  <c r="D280" i="7"/>
  <c r="I280" i="7"/>
  <c r="C280" i="7"/>
  <c r="K280" i="7"/>
  <c r="A282" i="7" l="1"/>
  <c r="I281" i="7"/>
  <c r="D281" i="7"/>
  <c r="J281" i="7"/>
  <c r="C281" i="7"/>
  <c r="E281" i="7"/>
  <c r="K281" i="7"/>
  <c r="B281" i="7"/>
  <c r="G281" i="7"/>
  <c r="H281" i="7" s="1"/>
  <c r="F281" i="7"/>
  <c r="A283" i="7" l="1"/>
  <c r="G282" i="7"/>
  <c r="H282" i="7" s="1"/>
  <c r="C282" i="7"/>
  <c r="K282" i="7"/>
  <c r="E282" i="7"/>
  <c r="J282" i="7"/>
  <c r="B282" i="7"/>
  <c r="I282" i="7"/>
  <c r="D282" i="7"/>
  <c r="F282" i="7"/>
  <c r="A284" i="7" l="1"/>
  <c r="K283" i="7"/>
  <c r="F283" i="7"/>
  <c r="B283" i="7"/>
  <c r="G283" i="7"/>
  <c r="H283" i="7" s="1"/>
  <c r="I283" i="7"/>
  <c r="E283" i="7"/>
  <c r="J283" i="7"/>
  <c r="D283" i="7"/>
  <c r="C283" i="7"/>
  <c r="A285" i="7" l="1"/>
  <c r="J284" i="7"/>
  <c r="E284" i="7"/>
  <c r="I284" i="7"/>
  <c r="C284" i="7"/>
  <c r="F284" i="7"/>
  <c r="D284" i="7"/>
  <c r="K284" i="7"/>
  <c r="G284" i="7"/>
  <c r="H284" i="7" s="1"/>
  <c r="B284" i="7"/>
  <c r="A286" i="7" l="1"/>
  <c r="I285" i="7"/>
  <c r="D285" i="7"/>
  <c r="K285" i="7"/>
  <c r="E285" i="7"/>
  <c r="C285" i="7"/>
  <c r="J285" i="7"/>
  <c r="B285" i="7"/>
  <c r="F285" i="7"/>
  <c r="G285" i="7"/>
  <c r="H285" i="7" s="1"/>
  <c r="A287" i="7" l="1"/>
  <c r="G286" i="7"/>
  <c r="H286" i="7" s="1"/>
  <c r="C286" i="7"/>
  <c r="F286" i="7"/>
  <c r="J286" i="7"/>
  <c r="B286" i="7"/>
  <c r="I286" i="7"/>
  <c r="K286" i="7"/>
  <c r="E286" i="7"/>
  <c r="D286" i="7"/>
  <c r="A288" i="7" l="1"/>
  <c r="K287" i="7"/>
  <c r="F287" i="7"/>
  <c r="B287" i="7"/>
  <c r="I287" i="7"/>
  <c r="C287" i="7"/>
  <c r="G287" i="7"/>
  <c r="H287" i="7" s="1"/>
  <c r="E287" i="7"/>
  <c r="J287" i="7"/>
  <c r="D287" i="7"/>
  <c r="A289" i="7" l="1"/>
  <c r="J288" i="7"/>
  <c r="E288" i="7"/>
  <c r="K288" i="7"/>
  <c r="D288" i="7"/>
  <c r="F288" i="7"/>
  <c r="C288" i="7"/>
  <c r="G288" i="7"/>
  <c r="H288" i="7" s="1"/>
  <c r="B288" i="7"/>
  <c r="I288" i="7"/>
  <c r="A290" i="7" l="1"/>
  <c r="I289" i="7"/>
  <c r="D289" i="7"/>
  <c r="F289" i="7"/>
  <c r="K289" i="7"/>
  <c r="C289" i="7"/>
  <c r="J289" i="7"/>
  <c r="B289" i="7"/>
  <c r="G289" i="7"/>
  <c r="H289" i="7" s="1"/>
  <c r="E289" i="7"/>
  <c r="A291" i="7" l="1"/>
  <c r="G290" i="7"/>
  <c r="H290" i="7" s="1"/>
  <c r="C290" i="7"/>
  <c r="I290" i="7"/>
  <c r="B290" i="7"/>
  <c r="J290" i="7"/>
  <c r="F290" i="7"/>
  <c r="D290" i="7"/>
  <c r="K290" i="7"/>
  <c r="E290" i="7"/>
  <c r="A292" i="7" l="1"/>
  <c r="K291" i="7"/>
  <c r="F291" i="7"/>
  <c r="B291" i="7"/>
  <c r="J291" i="7"/>
  <c r="D291" i="7"/>
  <c r="G291" i="7"/>
  <c r="H291" i="7" s="1"/>
  <c r="E291" i="7"/>
  <c r="I291" i="7"/>
  <c r="C291" i="7"/>
  <c r="A293" i="7" l="1"/>
  <c r="J292" i="7"/>
  <c r="E292" i="7"/>
  <c r="F292" i="7"/>
  <c r="D292" i="7"/>
  <c r="K292" i="7"/>
  <c r="C292" i="7"/>
  <c r="I292" i="7"/>
  <c r="G292" i="7"/>
  <c r="H292" i="7" s="1"/>
  <c r="B292" i="7"/>
  <c r="A294" i="7" l="1"/>
  <c r="I293" i="7"/>
  <c r="D293" i="7"/>
  <c r="G293" i="7"/>
  <c r="H293" i="7" s="1"/>
  <c r="B293" i="7"/>
  <c r="K293" i="7"/>
  <c r="C293" i="7"/>
  <c r="J293" i="7"/>
  <c r="E293" i="7"/>
  <c r="F293" i="7"/>
  <c r="A295" i="7" l="1"/>
  <c r="G294" i="7"/>
  <c r="H294" i="7" s="1"/>
  <c r="C294" i="7"/>
  <c r="J294" i="7"/>
  <c r="D294" i="7"/>
  <c r="I294" i="7"/>
  <c r="F294" i="7"/>
  <c r="K294" i="7"/>
  <c r="E294" i="7"/>
  <c r="B294" i="7"/>
  <c r="A296" i="7" l="1"/>
  <c r="K295" i="7"/>
  <c r="F295" i="7"/>
  <c r="B295" i="7"/>
  <c r="E295" i="7"/>
  <c r="G295" i="7"/>
  <c r="H295" i="7" s="1"/>
  <c r="D295" i="7"/>
  <c r="J295" i="7"/>
  <c r="I295" i="7"/>
  <c r="C295" i="7"/>
  <c r="A297" i="7" l="1"/>
  <c r="J296" i="7"/>
  <c r="E296" i="7"/>
  <c r="G296" i="7"/>
  <c r="H296" i="7" s="1"/>
  <c r="B296" i="7"/>
  <c r="D296" i="7"/>
  <c r="K296" i="7"/>
  <c r="C296" i="7"/>
  <c r="F296" i="7"/>
  <c r="I296" i="7"/>
  <c r="A298" i="7" l="1"/>
  <c r="I297" i="7"/>
  <c r="D297" i="7"/>
  <c r="J297" i="7"/>
  <c r="C297" i="7"/>
  <c r="K297" i="7"/>
  <c r="B297" i="7"/>
  <c r="G297" i="7"/>
  <c r="H297" i="7" s="1"/>
  <c r="F297" i="7"/>
  <c r="E297" i="7"/>
  <c r="A299" i="7" l="1"/>
  <c r="G298" i="7"/>
  <c r="H298" i="7" s="1"/>
  <c r="C298" i="7"/>
  <c r="K298" i="7"/>
  <c r="E298" i="7"/>
  <c r="I298" i="7"/>
  <c r="F298" i="7"/>
  <c r="B298" i="7"/>
  <c r="J298" i="7"/>
  <c r="D298" i="7"/>
  <c r="A300" i="7" l="1"/>
  <c r="K299" i="7"/>
  <c r="F299" i="7"/>
  <c r="B299" i="7"/>
  <c r="G299" i="7"/>
  <c r="H299" i="7" s="1"/>
  <c r="E299" i="7"/>
  <c r="D299" i="7"/>
  <c r="I299" i="7"/>
  <c r="C299" i="7"/>
  <c r="J299" i="7"/>
  <c r="A301" i="7" l="1"/>
  <c r="J300" i="7"/>
  <c r="E300" i="7"/>
  <c r="I300" i="7"/>
  <c r="C300" i="7"/>
  <c r="D300" i="7"/>
  <c r="K300" i="7"/>
  <c r="B300" i="7"/>
  <c r="G300" i="7"/>
  <c r="H300" i="7" s="1"/>
  <c r="F300" i="7"/>
  <c r="A302" i="7" l="1"/>
  <c r="I301" i="7"/>
  <c r="D301" i="7"/>
  <c r="K301" i="7"/>
  <c r="E301" i="7"/>
  <c r="J301" i="7"/>
  <c r="B301" i="7"/>
  <c r="G301" i="7"/>
  <c r="H301" i="7" s="1"/>
  <c r="C301" i="7"/>
  <c r="F301" i="7"/>
  <c r="A303" i="7" l="1"/>
  <c r="G302" i="7"/>
  <c r="H302" i="7" s="1"/>
  <c r="C302" i="7"/>
  <c r="F302" i="7"/>
  <c r="I302" i="7"/>
  <c r="E302" i="7"/>
  <c r="J302" i="7"/>
  <c r="D302" i="7"/>
  <c r="B302" i="7"/>
  <c r="K302" i="7"/>
  <c r="A304" i="7" l="1"/>
  <c r="K303" i="7"/>
  <c r="F303" i="7"/>
  <c r="B303" i="7"/>
  <c r="I303" i="7"/>
  <c r="C303" i="7"/>
  <c r="E303" i="7"/>
  <c r="D303" i="7"/>
  <c r="J303" i="7"/>
  <c r="G303" i="7"/>
  <c r="H303" i="7" s="1"/>
  <c r="A305" i="7" l="1"/>
  <c r="J304" i="7"/>
  <c r="E304" i="7"/>
  <c r="K304" i="7"/>
  <c r="D304" i="7"/>
  <c r="C304" i="7"/>
  <c r="I304" i="7"/>
  <c r="B304" i="7"/>
  <c r="F304" i="7"/>
  <c r="G304" i="7"/>
  <c r="H304" i="7" s="1"/>
  <c r="A306" i="7" l="1"/>
  <c r="I305" i="7"/>
  <c r="D305" i="7"/>
  <c r="F305" i="7"/>
  <c r="J305" i="7"/>
  <c r="B305" i="7"/>
  <c r="G305" i="7"/>
  <c r="H305" i="7" s="1"/>
  <c r="K305" i="7"/>
  <c r="E305" i="7"/>
  <c r="C305" i="7"/>
  <c r="A307" i="7" l="1"/>
  <c r="G306" i="7"/>
  <c r="H306" i="7" s="1"/>
  <c r="C306" i="7"/>
  <c r="I306" i="7"/>
  <c r="B306" i="7"/>
  <c r="F306" i="7"/>
  <c r="E306" i="7"/>
  <c r="K306" i="7"/>
  <c r="J306" i="7"/>
  <c r="D306" i="7"/>
  <c r="A308" i="7" l="1"/>
  <c r="K307" i="7"/>
  <c r="F307" i="7"/>
  <c r="B307" i="7"/>
  <c r="J307" i="7"/>
  <c r="D307" i="7"/>
  <c r="E307" i="7"/>
  <c r="C307" i="7"/>
  <c r="G307" i="7"/>
  <c r="H307" i="7" s="1"/>
  <c r="I307" i="7"/>
  <c r="A309" i="7" l="1"/>
  <c r="J308" i="7"/>
  <c r="E308" i="7"/>
  <c r="F308" i="7"/>
  <c r="K308" i="7"/>
  <c r="C308" i="7"/>
  <c r="I308" i="7"/>
  <c r="B308" i="7"/>
  <c r="G308" i="7"/>
  <c r="H308" i="7" s="1"/>
  <c r="D308" i="7"/>
  <c r="A310" i="7" l="1"/>
  <c r="I309" i="7"/>
  <c r="D309" i="7"/>
  <c r="G309" i="7"/>
  <c r="H309" i="7" s="1"/>
  <c r="B309" i="7"/>
  <c r="J309" i="7"/>
  <c r="F309" i="7"/>
  <c r="C309" i="7"/>
  <c r="K309" i="7"/>
  <c r="E309" i="7"/>
  <c r="A311" i="7" l="1"/>
  <c r="G310" i="7"/>
  <c r="H310" i="7" s="1"/>
  <c r="C310" i="7"/>
  <c r="J310" i="7"/>
  <c r="D310" i="7"/>
  <c r="F310" i="7"/>
  <c r="E310" i="7"/>
  <c r="I310" i="7"/>
  <c r="B310" i="7"/>
  <c r="K310" i="7"/>
  <c r="A312" i="7" l="1"/>
  <c r="K311" i="7"/>
  <c r="F311" i="7"/>
  <c r="B311" i="7"/>
  <c r="E311" i="7"/>
  <c r="D311" i="7"/>
  <c r="J311" i="7"/>
  <c r="C311" i="7"/>
  <c r="I311" i="7"/>
  <c r="G311" i="7"/>
  <c r="H311" i="7" s="1"/>
  <c r="A313" i="7" l="1"/>
  <c r="K312" i="7"/>
  <c r="F312" i="7"/>
  <c r="B312" i="7"/>
  <c r="G312" i="7"/>
  <c r="H312" i="7" s="1"/>
  <c r="J312" i="7"/>
  <c r="C312" i="7"/>
  <c r="D312" i="7"/>
  <c r="E312" i="7"/>
  <c r="I312" i="7"/>
  <c r="A314" i="7" l="1"/>
  <c r="J313" i="7"/>
  <c r="E313" i="7"/>
  <c r="I313" i="7"/>
  <c r="C313" i="7"/>
  <c r="G313" i="7"/>
  <c r="H313" i="7" s="1"/>
  <c r="D313" i="7"/>
  <c r="B313" i="7"/>
  <c r="K313" i="7"/>
  <c r="F313" i="7"/>
  <c r="A315" i="7" l="1"/>
  <c r="I314" i="7"/>
  <c r="D314" i="7"/>
  <c r="K314" i="7"/>
  <c r="E314" i="7"/>
  <c r="F314" i="7"/>
  <c r="C314" i="7"/>
  <c r="B314" i="7"/>
  <c r="G314" i="7"/>
  <c r="H314" i="7" s="1"/>
  <c r="J314" i="7"/>
  <c r="A316" i="7" l="1"/>
  <c r="G315" i="7"/>
  <c r="H315" i="7" s="1"/>
  <c r="C315" i="7"/>
  <c r="F315" i="7"/>
  <c r="K315" i="7"/>
  <c r="D315" i="7"/>
  <c r="E315" i="7"/>
  <c r="B315" i="7"/>
  <c r="J315" i="7"/>
  <c r="I315" i="7"/>
  <c r="A317" i="7" l="1"/>
  <c r="K316" i="7"/>
  <c r="F316" i="7"/>
  <c r="B316" i="7"/>
  <c r="I316" i="7"/>
  <c r="C316" i="7"/>
  <c r="J316" i="7"/>
  <c r="E316" i="7"/>
  <c r="D316" i="7"/>
  <c r="G316" i="7"/>
  <c r="H316" i="7" s="1"/>
  <c r="A318" i="7" l="1"/>
  <c r="J317" i="7"/>
  <c r="E317" i="7"/>
  <c r="K317" i="7"/>
  <c r="D317" i="7"/>
  <c r="G317" i="7"/>
  <c r="H317" i="7" s="1"/>
  <c r="F317" i="7"/>
  <c r="C317" i="7"/>
  <c r="I317" i="7"/>
  <c r="B317" i="7"/>
  <c r="A319" i="7" l="1"/>
  <c r="I318" i="7"/>
  <c r="D318" i="7"/>
  <c r="F318" i="7"/>
  <c r="E318" i="7"/>
  <c r="G318" i="7"/>
  <c r="H318" i="7" s="1"/>
  <c r="C318" i="7"/>
  <c r="J318" i="7"/>
  <c r="B318" i="7"/>
  <c r="K318" i="7"/>
  <c r="A320" i="7" l="1"/>
  <c r="G319" i="7"/>
  <c r="H319" i="7" s="1"/>
  <c r="C319" i="7"/>
  <c r="I319" i="7"/>
  <c r="B319" i="7"/>
  <c r="K319" i="7"/>
  <c r="D319" i="7"/>
  <c r="F319" i="7"/>
  <c r="E319" i="7"/>
  <c r="J319" i="7"/>
  <c r="A321" i="7" l="1"/>
  <c r="J320" i="7"/>
  <c r="F320" i="7"/>
  <c r="B320" i="7"/>
  <c r="I320" i="7"/>
  <c r="D320" i="7"/>
  <c r="G320" i="7"/>
  <c r="H320" i="7" s="1"/>
  <c r="E320" i="7"/>
  <c r="K320" i="7"/>
  <c r="C320" i="7"/>
  <c r="A322" i="7" l="1"/>
  <c r="I321" i="7"/>
  <c r="D321" i="7"/>
  <c r="K321" i="7"/>
  <c r="E321" i="7"/>
  <c r="F321" i="7"/>
  <c r="G321" i="7"/>
  <c r="H321" i="7" s="1"/>
  <c r="C321" i="7"/>
  <c r="J321" i="7"/>
  <c r="B321" i="7"/>
  <c r="A323" i="7" l="1"/>
  <c r="K322" i="7"/>
  <c r="G322" i="7"/>
  <c r="H322" i="7" s="1"/>
  <c r="C322" i="7"/>
  <c r="F322" i="7"/>
  <c r="J322" i="7"/>
  <c r="D322" i="7"/>
  <c r="E322" i="7"/>
  <c r="I322" i="7"/>
  <c r="B322" i="7"/>
  <c r="A324" i="7" l="1"/>
  <c r="J323" i="7"/>
  <c r="E323" i="7"/>
  <c r="G323" i="7"/>
  <c r="H323" i="7" s="1"/>
  <c r="B323" i="7"/>
  <c r="I323" i="7"/>
  <c r="F323" i="7"/>
  <c r="D323" i="7"/>
  <c r="K323" i="7"/>
  <c r="C323" i="7"/>
  <c r="A325" i="7" l="1"/>
  <c r="D324" i="7"/>
  <c r="I324" i="7"/>
  <c r="C324" i="7"/>
  <c r="F324" i="7"/>
  <c r="G324" i="7"/>
  <c r="H324" i="7" s="1"/>
  <c r="E324" i="7"/>
  <c r="J324" i="7"/>
  <c r="B324" i="7"/>
  <c r="K324" i="7"/>
  <c r="A326" i="7" l="1"/>
  <c r="K325" i="7"/>
  <c r="F325" i="7"/>
  <c r="B325" i="7"/>
  <c r="J325" i="7"/>
  <c r="D325" i="7"/>
  <c r="C325" i="7"/>
  <c r="G325" i="7"/>
  <c r="H325" i="7" s="1"/>
  <c r="E325" i="7"/>
  <c r="I325" i="7"/>
  <c r="A327" i="7" l="1"/>
  <c r="I326" i="7"/>
  <c r="E326" i="7"/>
  <c r="K326" i="7"/>
  <c r="F326" i="7"/>
  <c r="B326" i="7"/>
  <c r="G326" i="7"/>
  <c r="H326" i="7" s="1"/>
  <c r="D326" i="7"/>
  <c r="J326" i="7"/>
  <c r="C326" i="7"/>
  <c r="A328" i="7" l="1"/>
  <c r="G327" i="7"/>
  <c r="H327" i="7" s="1"/>
  <c r="C327" i="7"/>
  <c r="F327" i="7"/>
  <c r="E327" i="7"/>
  <c r="I327" i="7"/>
  <c r="D327" i="7"/>
  <c r="K327" i="7"/>
  <c r="J327" i="7"/>
  <c r="B327" i="7"/>
  <c r="A329" i="7" l="1"/>
  <c r="J328" i="7"/>
  <c r="F328" i="7"/>
  <c r="B328" i="7"/>
  <c r="C328" i="7"/>
  <c r="K328" i="7"/>
  <c r="D328" i="7"/>
  <c r="G328" i="7"/>
  <c r="H328" i="7" s="1"/>
  <c r="E328" i="7"/>
  <c r="I328" i="7"/>
  <c r="A330" i="7" l="1"/>
  <c r="I329" i="7"/>
  <c r="D329" i="7"/>
  <c r="J329" i="7"/>
  <c r="C329" i="7"/>
  <c r="G329" i="7"/>
  <c r="H329" i="7" s="1"/>
  <c r="F329" i="7"/>
  <c r="E329" i="7"/>
  <c r="K329" i="7"/>
  <c r="B329" i="7"/>
  <c r="A331" i="7" l="1"/>
  <c r="K330" i="7"/>
  <c r="G330" i="7"/>
  <c r="H330" i="7" s="1"/>
  <c r="C330" i="7"/>
  <c r="J330" i="7"/>
  <c r="E330" i="7"/>
  <c r="F330" i="7"/>
  <c r="D330" i="7"/>
  <c r="I330" i="7"/>
  <c r="B330" i="7"/>
  <c r="A332" i="7" l="1"/>
  <c r="K331" i="7"/>
  <c r="F331" i="7"/>
  <c r="E331" i="7"/>
  <c r="G331" i="7"/>
  <c r="H331" i="7" s="1"/>
  <c r="C331" i="7"/>
  <c r="I331" i="7"/>
  <c r="D331" i="7"/>
  <c r="J331" i="7"/>
  <c r="B331" i="7"/>
  <c r="A333" i="7" l="1"/>
  <c r="I332" i="7"/>
  <c r="E332" i="7"/>
  <c r="G332" i="7"/>
  <c r="H332" i="7" s="1"/>
  <c r="B332" i="7"/>
  <c r="K332" i="7"/>
  <c r="D332" i="7"/>
  <c r="C332" i="7"/>
  <c r="J332" i="7"/>
  <c r="F332" i="7"/>
  <c r="A334" i="7" l="1"/>
  <c r="G333" i="7"/>
  <c r="H333" i="7" s="1"/>
  <c r="C333" i="7"/>
  <c r="I333" i="7"/>
  <c r="B333" i="7"/>
  <c r="J333" i="7"/>
  <c r="D333" i="7"/>
  <c r="K333" i="7"/>
  <c r="E333" i="7"/>
  <c r="F333" i="7"/>
  <c r="A335" i="7" l="1"/>
  <c r="J334" i="7"/>
  <c r="F334" i="7"/>
  <c r="B334" i="7"/>
  <c r="I334" i="7"/>
  <c r="D334" i="7"/>
  <c r="G334" i="7"/>
  <c r="H334" i="7" s="1"/>
  <c r="C334" i="7"/>
  <c r="E334" i="7"/>
  <c r="K334" i="7"/>
  <c r="A336" i="7" l="1"/>
  <c r="I335" i="7"/>
  <c r="D335" i="7"/>
  <c r="G335" i="7"/>
  <c r="H335" i="7" s="1"/>
  <c r="C335" i="7"/>
  <c r="F335" i="7"/>
  <c r="E335" i="7"/>
  <c r="B335" i="7"/>
  <c r="K335" i="7"/>
  <c r="J335" i="7"/>
  <c r="A337" i="7" l="1"/>
  <c r="K336" i="7"/>
  <c r="G336" i="7"/>
  <c r="H336" i="7" s="1"/>
  <c r="C336" i="7"/>
  <c r="J336" i="7"/>
  <c r="F336" i="7"/>
  <c r="B336" i="7"/>
  <c r="E336" i="7"/>
  <c r="I336" i="7"/>
  <c r="D336" i="7"/>
  <c r="A338" i="7" l="1"/>
  <c r="J337" i="7"/>
  <c r="E337" i="7"/>
  <c r="I337" i="7"/>
  <c r="D337" i="7"/>
  <c r="C337" i="7"/>
  <c r="G337" i="7"/>
  <c r="H337" i="7" s="1"/>
  <c r="K337" i="7"/>
  <c r="F337" i="7"/>
  <c r="B337" i="7"/>
  <c r="D338" i="7" l="1"/>
  <c r="K338" i="7"/>
  <c r="G338" i="7"/>
  <c r="H338" i="7" s="1"/>
  <c r="C338" i="7"/>
  <c r="J338" i="7"/>
  <c r="B338" i="7"/>
  <c r="I338" i="7"/>
  <c r="E338" i="7"/>
  <c r="F338" i="7"/>
  <c r="A339" i="7"/>
  <c r="A340" i="7" l="1"/>
  <c r="K339" i="7"/>
  <c r="F339" i="7"/>
  <c r="B339" i="7"/>
  <c r="J339" i="7"/>
  <c r="E339" i="7"/>
  <c r="I339" i="7"/>
  <c r="G339" i="7"/>
  <c r="H339" i="7" s="1"/>
  <c r="D339" i="7"/>
  <c r="C339" i="7"/>
  <c r="A341" i="7" l="1"/>
  <c r="I340" i="7"/>
  <c r="E340" i="7"/>
  <c r="D340" i="7"/>
  <c r="G340" i="7"/>
  <c r="H340" i="7" s="1"/>
  <c r="K340" i="7"/>
  <c r="B340" i="7"/>
  <c r="C340" i="7"/>
  <c r="F340" i="7"/>
  <c r="J340" i="7"/>
  <c r="A342" i="7" l="1"/>
  <c r="G341" i="7"/>
  <c r="H341" i="7" s="1"/>
  <c r="C341" i="7"/>
  <c r="K341" i="7"/>
  <c r="F341" i="7"/>
  <c r="B341" i="7"/>
  <c r="E341" i="7"/>
  <c r="D341" i="7"/>
  <c r="J341" i="7"/>
  <c r="I341" i="7"/>
  <c r="A343" i="7" l="1"/>
  <c r="J342" i="7"/>
  <c r="F342" i="7"/>
  <c r="B342" i="7"/>
  <c r="I342" i="7"/>
  <c r="E342" i="7"/>
  <c r="D342" i="7"/>
  <c r="C342" i="7"/>
  <c r="K342" i="7"/>
  <c r="G342" i="7"/>
  <c r="H342" i="7" s="1"/>
  <c r="A344" i="7" l="1"/>
  <c r="I343" i="7"/>
  <c r="D343" i="7"/>
  <c r="G343" i="7"/>
  <c r="H343" i="7" s="1"/>
  <c r="C343" i="7"/>
  <c r="K343" i="7"/>
  <c r="B343" i="7"/>
  <c r="E343" i="7"/>
  <c r="J343" i="7"/>
  <c r="F343" i="7"/>
  <c r="A345" i="7" l="1"/>
  <c r="K344" i="7"/>
  <c r="G344" i="7"/>
  <c r="H344" i="7" s="1"/>
  <c r="C344" i="7"/>
  <c r="J344" i="7"/>
  <c r="F344" i="7"/>
  <c r="B344" i="7"/>
  <c r="I344" i="7"/>
  <c r="E344" i="7"/>
  <c r="D344" i="7"/>
  <c r="A346" i="7" l="1"/>
  <c r="J345" i="7"/>
  <c r="E345" i="7"/>
  <c r="I345" i="7"/>
  <c r="D345" i="7"/>
  <c r="G345" i="7"/>
  <c r="H345" i="7" s="1"/>
  <c r="F345" i="7"/>
  <c r="K345" i="7"/>
  <c r="C345" i="7"/>
  <c r="B345" i="7"/>
  <c r="A347" i="7" l="1"/>
  <c r="D346" i="7"/>
  <c r="K346" i="7"/>
  <c r="G346" i="7"/>
  <c r="H346" i="7" s="1"/>
  <c r="C346" i="7"/>
  <c r="F346" i="7"/>
  <c r="I346" i="7"/>
  <c r="B346" i="7"/>
  <c r="J346" i="7"/>
  <c r="E346" i="7"/>
  <c r="A348" i="7" l="1"/>
  <c r="K347" i="7"/>
  <c r="F347" i="7"/>
  <c r="B347" i="7"/>
  <c r="J347" i="7"/>
  <c r="E347" i="7"/>
  <c r="D347" i="7"/>
  <c r="I347" i="7"/>
  <c r="C347" i="7"/>
  <c r="G347" i="7"/>
  <c r="H347" i="7" s="1"/>
  <c r="A349" i="7" l="1"/>
  <c r="I348" i="7"/>
  <c r="E348" i="7"/>
  <c r="D348" i="7"/>
  <c r="K348" i="7"/>
  <c r="C348" i="7"/>
  <c r="J348" i="7"/>
  <c r="G348" i="7"/>
  <c r="H348" i="7" s="1"/>
  <c r="B348" i="7"/>
  <c r="F348" i="7"/>
  <c r="A350" i="7" l="1"/>
  <c r="G349" i="7"/>
  <c r="H349" i="7" s="1"/>
  <c r="C349" i="7"/>
  <c r="K349" i="7"/>
  <c r="F349" i="7"/>
  <c r="B349" i="7"/>
  <c r="J349" i="7"/>
  <c r="I349" i="7"/>
  <c r="E349" i="7"/>
  <c r="D349" i="7"/>
  <c r="A351" i="7" l="1"/>
  <c r="J350" i="7"/>
  <c r="F350" i="7"/>
  <c r="B350" i="7"/>
  <c r="I350" i="7"/>
  <c r="E350" i="7"/>
  <c r="C350" i="7"/>
  <c r="D350" i="7"/>
  <c r="K350" i="7"/>
  <c r="G350" i="7"/>
  <c r="H350" i="7" s="1"/>
  <c r="I351" i="7" l="1"/>
  <c r="D351" i="7"/>
  <c r="G351" i="7"/>
  <c r="H351" i="7" s="1"/>
  <c r="C351" i="7"/>
  <c r="F351" i="7"/>
  <c r="B351" i="7"/>
  <c r="J351" i="7"/>
  <c r="K351" i="7"/>
  <c r="E351" i="7"/>
  <c r="A352" i="7"/>
  <c r="A353" i="7" l="1"/>
  <c r="K352" i="7"/>
  <c r="G352" i="7"/>
  <c r="H352" i="7" s="1"/>
  <c r="C352" i="7"/>
  <c r="J352" i="7"/>
  <c r="F352" i="7"/>
  <c r="B352" i="7"/>
  <c r="E352" i="7"/>
  <c r="D352" i="7"/>
  <c r="I352" i="7"/>
  <c r="A354" i="7" l="1"/>
  <c r="J353" i="7"/>
  <c r="E353" i="7"/>
  <c r="I353" i="7"/>
  <c r="D353" i="7"/>
  <c r="C353" i="7"/>
  <c r="F353" i="7"/>
  <c r="B353" i="7"/>
  <c r="K353" i="7"/>
  <c r="G353" i="7"/>
  <c r="H353" i="7" s="1"/>
  <c r="A355" i="7" l="1"/>
  <c r="D354" i="7"/>
  <c r="K354" i="7"/>
  <c r="G354" i="7"/>
  <c r="H354" i="7" s="1"/>
  <c r="C354" i="7"/>
  <c r="J354" i="7"/>
  <c r="B354" i="7"/>
  <c r="F354" i="7"/>
  <c r="I354" i="7"/>
  <c r="E354" i="7"/>
  <c r="A356" i="7" l="1"/>
  <c r="K355" i="7"/>
  <c r="F355" i="7"/>
  <c r="B355" i="7"/>
  <c r="J355" i="7"/>
  <c r="E355" i="7"/>
  <c r="I355" i="7"/>
  <c r="G355" i="7"/>
  <c r="H355" i="7" s="1"/>
  <c r="D355" i="7"/>
  <c r="C355" i="7"/>
  <c r="A357" i="7" l="1"/>
  <c r="I356" i="7"/>
  <c r="E356" i="7"/>
  <c r="D356" i="7"/>
  <c r="G356" i="7"/>
  <c r="H356" i="7" s="1"/>
  <c r="J356" i="7"/>
  <c r="C356" i="7"/>
  <c r="B356" i="7"/>
  <c r="F356" i="7"/>
  <c r="K356" i="7"/>
  <c r="A358" i="7" l="1"/>
  <c r="G357" i="7"/>
  <c r="H357" i="7" s="1"/>
  <c r="C357" i="7"/>
  <c r="K357" i="7"/>
  <c r="F357" i="7"/>
  <c r="B357" i="7"/>
  <c r="E357" i="7"/>
  <c r="J357" i="7"/>
  <c r="I357" i="7"/>
  <c r="D357" i="7"/>
  <c r="A359" i="7" l="1"/>
  <c r="J358" i="7"/>
  <c r="F358" i="7"/>
  <c r="B358" i="7"/>
  <c r="I358" i="7"/>
  <c r="E358" i="7"/>
  <c r="D358" i="7"/>
  <c r="K358" i="7"/>
  <c r="C358" i="7"/>
  <c r="G358" i="7"/>
  <c r="H358" i="7" s="1"/>
  <c r="A360" i="7" l="1"/>
  <c r="I359" i="7"/>
  <c r="D359" i="7"/>
  <c r="G359" i="7"/>
  <c r="H359" i="7" s="1"/>
  <c r="C359" i="7"/>
  <c r="K359" i="7"/>
  <c r="B359" i="7"/>
  <c r="E359" i="7"/>
  <c r="J359" i="7"/>
  <c r="F359" i="7"/>
  <c r="A361" i="7" l="1"/>
  <c r="K360" i="7"/>
  <c r="G360" i="7"/>
  <c r="H360" i="7" s="1"/>
  <c r="C360" i="7"/>
  <c r="J360" i="7"/>
  <c r="F360" i="7"/>
  <c r="B360" i="7"/>
  <c r="I360" i="7"/>
  <c r="D360" i="7"/>
  <c r="E360" i="7"/>
  <c r="A362" i="7" l="1"/>
  <c r="J361" i="7"/>
  <c r="E361" i="7"/>
  <c r="I361" i="7"/>
  <c r="D361" i="7"/>
  <c r="G361" i="7"/>
  <c r="H361" i="7" s="1"/>
  <c r="C361" i="7"/>
  <c r="K361" i="7"/>
  <c r="F361" i="7"/>
  <c r="B361" i="7"/>
  <c r="A363" i="7" l="1"/>
  <c r="J362" i="7"/>
  <c r="F362" i="7"/>
  <c r="D362" i="7"/>
  <c r="K362" i="7"/>
  <c r="G362" i="7"/>
  <c r="H362" i="7" s="1"/>
  <c r="C362" i="7"/>
  <c r="I362" i="7"/>
  <c r="E362" i="7"/>
  <c r="B362" i="7"/>
  <c r="A364" i="7" l="1"/>
  <c r="I363" i="7"/>
  <c r="D363" i="7"/>
  <c r="K363" i="7"/>
  <c r="F363" i="7"/>
  <c r="B363" i="7"/>
  <c r="J363" i="7"/>
  <c r="E363" i="7"/>
  <c r="G363" i="7"/>
  <c r="H363" i="7" s="1"/>
  <c r="C363" i="7"/>
  <c r="A365" i="7" l="1"/>
  <c r="K364" i="7"/>
  <c r="G364" i="7"/>
  <c r="H364" i="7" s="1"/>
  <c r="C364" i="7"/>
  <c r="J364" i="7"/>
  <c r="F364" i="7"/>
  <c r="I364" i="7"/>
  <c r="E364" i="7"/>
  <c r="D364" i="7"/>
  <c r="B364" i="7"/>
  <c r="A366" i="7" l="1"/>
  <c r="J365" i="7"/>
  <c r="E365" i="7"/>
  <c r="I365" i="7"/>
  <c r="D365" i="7"/>
  <c r="G365" i="7"/>
  <c r="H365" i="7" s="1"/>
  <c r="C365" i="7"/>
  <c r="K365" i="7"/>
  <c r="F365" i="7"/>
  <c r="B365" i="7"/>
  <c r="D366" i="7" l="1"/>
  <c r="K366" i="7"/>
  <c r="G366" i="7"/>
  <c r="H366" i="7" s="1"/>
  <c r="C366" i="7"/>
  <c r="J366" i="7"/>
  <c r="F366" i="7"/>
  <c r="B366" i="7"/>
  <c r="I366" i="7"/>
  <c r="E366" i="7"/>
</calcChain>
</file>

<file path=xl/sharedStrings.xml><?xml version="1.0" encoding="utf-8"?>
<sst xmlns="http://schemas.openxmlformats.org/spreadsheetml/2006/main" count="4928" uniqueCount="886">
  <si>
    <t>City ID</t>
  </si>
  <si>
    <t>City</t>
  </si>
  <si>
    <t>Region</t>
  </si>
  <si>
    <t>Status</t>
  </si>
  <si>
    <t>C001</t>
  </si>
  <si>
    <t>Karachi</t>
  </si>
  <si>
    <t>Sindh</t>
  </si>
  <si>
    <t>Active</t>
  </si>
  <si>
    <t>C002</t>
  </si>
  <si>
    <t>Lahore</t>
  </si>
  <si>
    <t>Punjab</t>
  </si>
  <si>
    <t>C003</t>
  </si>
  <si>
    <t>Islamabad</t>
  </si>
  <si>
    <t>Federal</t>
  </si>
  <si>
    <t>C004</t>
  </si>
  <si>
    <t>Rawalpindi</t>
  </si>
  <si>
    <t>RSM ID</t>
  </si>
  <si>
    <t>RSM Name</t>
  </si>
  <si>
    <t>Salesperson ID</t>
  </si>
  <si>
    <t>Salesperson Name</t>
  </si>
  <si>
    <t>R001</t>
  </si>
  <si>
    <t>Ali Khan</t>
  </si>
  <si>
    <t>SP001</t>
  </si>
  <si>
    <t>Ahmed Raza</t>
  </si>
  <si>
    <t>SP002</t>
  </si>
  <si>
    <t>Bilal Ahmed</t>
  </si>
  <si>
    <t>SP003</t>
  </si>
  <si>
    <t>Farhan Malik</t>
  </si>
  <si>
    <t>R002</t>
  </si>
  <si>
    <t>Hamza Malik</t>
  </si>
  <si>
    <t>SP004</t>
  </si>
  <si>
    <t>Danish Ali</t>
  </si>
  <si>
    <t>SP005</t>
  </si>
  <si>
    <t>Usman Tariq</t>
  </si>
  <si>
    <t>SP006</t>
  </si>
  <si>
    <t>Saad Ahmed</t>
  </si>
  <si>
    <t>R003</t>
  </si>
  <si>
    <t>Imran Shah</t>
  </si>
  <si>
    <t>SP007</t>
  </si>
  <si>
    <t>Hassan Raza</t>
  </si>
  <si>
    <t>SP008</t>
  </si>
  <si>
    <t>Kamran Ali</t>
  </si>
  <si>
    <t>SP009</t>
  </si>
  <si>
    <t>Salman Ahmed</t>
  </si>
  <si>
    <t>R004</t>
  </si>
  <si>
    <t>Fahad Khan</t>
  </si>
  <si>
    <t>SP010</t>
  </si>
  <si>
    <t>Adeel Hussain</t>
  </si>
  <si>
    <t>SP011</t>
  </si>
  <si>
    <t>Rizwan Ali</t>
  </si>
  <si>
    <t>SP012</t>
  </si>
  <si>
    <t>Naveed Ahmed</t>
  </si>
  <si>
    <t>Distributor ID</t>
  </si>
  <si>
    <t>Distributor Name</t>
  </si>
  <si>
    <t>D001</t>
  </si>
  <si>
    <t>Karachi Distributors</t>
  </si>
  <si>
    <t>D002</t>
  </si>
  <si>
    <t>Metro Wholesale Karachi</t>
  </si>
  <si>
    <t>D003</t>
  </si>
  <si>
    <t>Sindh Trade Network</t>
  </si>
  <si>
    <t>D004</t>
  </si>
  <si>
    <t>Lahore Trading Co.</t>
  </si>
  <si>
    <t>D005</t>
  </si>
  <si>
    <t>Punjab Distribution House</t>
  </si>
  <si>
    <t>D006</t>
  </si>
  <si>
    <t>Lahore Wholesale Mart</t>
  </si>
  <si>
    <t>D007</t>
  </si>
  <si>
    <t>Capital Distribution Co.</t>
  </si>
  <si>
    <t>D008</t>
  </si>
  <si>
    <t>Islamabad Trade Link</t>
  </si>
  <si>
    <t>D009</t>
  </si>
  <si>
    <t>Capital Wholesale Network</t>
  </si>
  <si>
    <t>D010</t>
  </si>
  <si>
    <t>Rawalpindi Distribution Co.</t>
  </si>
  <si>
    <t>D011</t>
  </si>
  <si>
    <t>Potohar Trade House</t>
  </si>
  <si>
    <t>D012</t>
  </si>
  <si>
    <t>Rawalpindi Wholesale Mart</t>
  </si>
  <si>
    <t>Product ID</t>
  </si>
  <si>
    <t>Brand</t>
  </si>
  <si>
    <t>Product Name</t>
  </si>
  <si>
    <t>Category</t>
  </si>
  <si>
    <t>Sub-Category</t>
  </si>
  <si>
    <t>Pack Size</t>
  </si>
  <si>
    <t>Unit</t>
  </si>
  <si>
    <t>P001</t>
  </si>
  <si>
    <t>Morning Harvest</t>
  </si>
  <si>
    <t>Corn Flakes Original</t>
  </si>
  <si>
    <t>Morning Cereals</t>
  </si>
  <si>
    <t>Corn Flakes</t>
  </si>
  <si>
    <t>250g</t>
  </si>
  <si>
    <t>Box</t>
  </si>
  <si>
    <t>P002</t>
  </si>
  <si>
    <t>500g</t>
  </si>
  <si>
    <t>P003</t>
  </si>
  <si>
    <t>1kg</t>
  </si>
  <si>
    <t>P004</t>
  </si>
  <si>
    <t>Honey Corn Flakes</t>
  </si>
  <si>
    <t>P005</t>
  </si>
  <si>
    <t>P006</t>
  </si>
  <si>
    <t>Chocolate Corn Flakes</t>
  </si>
  <si>
    <t>P007</t>
  </si>
  <si>
    <t>P008</t>
  </si>
  <si>
    <t>Frosted Flakes</t>
  </si>
  <si>
    <t>Flakes</t>
  </si>
  <si>
    <t>P009</t>
  </si>
  <si>
    <t>P010</t>
  </si>
  <si>
    <t>Bran Flakes</t>
  </si>
  <si>
    <t>Healthy Cereals</t>
  </si>
  <si>
    <t>P011</t>
  </si>
  <si>
    <t>P012</t>
  </si>
  <si>
    <t>High Fibre Cereal</t>
  </si>
  <si>
    <t>P013</t>
  </si>
  <si>
    <t>P014</t>
  </si>
  <si>
    <t>Muesli Classic</t>
  </si>
  <si>
    <t>Muesli</t>
  </si>
  <si>
    <t>350g</t>
  </si>
  <si>
    <t>P015</t>
  </si>
  <si>
    <t>750g</t>
  </si>
  <si>
    <t>P016</t>
  </si>
  <si>
    <t>Fruit &amp; Nut Muesli</t>
  </si>
  <si>
    <t>P017</t>
  </si>
  <si>
    <t>P018</t>
  </si>
  <si>
    <t>Chocolate Muesli</t>
  </si>
  <si>
    <t>P019</t>
  </si>
  <si>
    <t>P020</t>
  </si>
  <si>
    <t>Granola Honey</t>
  </si>
  <si>
    <t>Granola</t>
  </si>
  <si>
    <t>300g</t>
  </si>
  <si>
    <t>P021</t>
  </si>
  <si>
    <t>600g</t>
  </si>
  <si>
    <t>P022</t>
  </si>
  <si>
    <t>Granola Chocolate</t>
  </si>
  <si>
    <t>P023</t>
  </si>
  <si>
    <t>P024</t>
  </si>
  <si>
    <t>Strawberry Crunch Cereal</t>
  </si>
  <si>
    <t>Kids Cereals</t>
  </si>
  <si>
    <t>P025</t>
  </si>
  <si>
    <t>P026</t>
  </si>
  <si>
    <t>Choco Rings Cereal</t>
  </si>
  <si>
    <t>P027</t>
  </si>
  <si>
    <t>P028</t>
  </si>
  <si>
    <t>Honey Rings Cereal</t>
  </si>
  <si>
    <t>P029</t>
  </si>
  <si>
    <t>P030</t>
  </si>
  <si>
    <t>Mixed Grain Cereal</t>
  </si>
  <si>
    <t>Multigrain</t>
  </si>
  <si>
    <t>P031</t>
  </si>
  <si>
    <t>700g</t>
  </si>
  <si>
    <t>P032</t>
  </si>
  <si>
    <t>Melegatti</t>
  </si>
  <si>
    <t>Classic Panettone</t>
  </si>
  <si>
    <t>Cakes &amp; Croissants</t>
  </si>
  <si>
    <t>Panettone</t>
  </si>
  <si>
    <t>P033</t>
  </si>
  <si>
    <t>P034</t>
  </si>
  <si>
    <t>P035</t>
  </si>
  <si>
    <t>Chocolate Panettone</t>
  </si>
  <si>
    <t>P036</t>
  </si>
  <si>
    <t>P037</t>
  </si>
  <si>
    <t>P038</t>
  </si>
  <si>
    <t>Pandoro Classico</t>
  </si>
  <si>
    <t>Pandoro</t>
  </si>
  <si>
    <t>P039</t>
  </si>
  <si>
    <t>P040</t>
  </si>
  <si>
    <t>P041</t>
  </si>
  <si>
    <t>Chocolate Cake</t>
  </si>
  <si>
    <t>Cakes</t>
  </si>
  <si>
    <t>P042</t>
  </si>
  <si>
    <t>P043</t>
  </si>
  <si>
    <t>Vanilla Cake</t>
  </si>
  <si>
    <t>P044</t>
  </si>
  <si>
    <t>P045</t>
  </si>
  <si>
    <t>Lemon Cake</t>
  </si>
  <si>
    <t>P046</t>
  </si>
  <si>
    <t>P047</t>
  </si>
  <si>
    <t>Marble Cake</t>
  </si>
  <si>
    <t>P048</t>
  </si>
  <si>
    <t>P049</t>
  </si>
  <si>
    <t>Mini Croissant Classic</t>
  </si>
  <si>
    <t>Croissants</t>
  </si>
  <si>
    <t>6 Pack</t>
  </si>
  <si>
    <t>Pack</t>
  </si>
  <si>
    <t>P050</t>
  </si>
  <si>
    <t>12 Pack</t>
  </si>
  <si>
    <t>P051</t>
  </si>
  <si>
    <t>Mini Croissant Chocolate</t>
  </si>
  <si>
    <t>P052</t>
  </si>
  <si>
    <t>P053</t>
  </si>
  <si>
    <t>Mini Croissant Apricot</t>
  </si>
  <si>
    <t>P054</t>
  </si>
  <si>
    <t>P055</t>
  </si>
  <si>
    <t>Filled Croissant Chocolate</t>
  </si>
  <si>
    <t>P056</t>
  </si>
  <si>
    <t>Filled Croissant Vanilla</t>
  </si>
  <si>
    <t>Date</t>
  </si>
  <si>
    <t>Year</t>
  </si>
  <si>
    <t>Month No</t>
  </si>
  <si>
    <t>Month</t>
  </si>
  <si>
    <t>Quarter</t>
  </si>
  <si>
    <t>Week No</t>
  </si>
  <si>
    <t>Week Start</t>
  </si>
  <si>
    <t>Week End</t>
  </si>
  <si>
    <t>Day</t>
  </si>
  <si>
    <t>Day No</t>
  </si>
  <si>
    <t>Month-Year</t>
  </si>
  <si>
    <t>Target Amount</t>
  </si>
  <si>
    <t>MonthYear</t>
  </si>
  <si>
    <t>Transaction ID</t>
  </si>
  <si>
    <t>Quantity</t>
  </si>
  <si>
    <t>Unit Price</t>
  </si>
  <si>
    <t>Sales Amount</t>
  </si>
  <si>
    <t>TXN0001</t>
  </si>
  <si>
    <t>TXN0002</t>
  </si>
  <si>
    <t>TXN0003</t>
  </si>
  <si>
    <t>TXN0004</t>
  </si>
  <si>
    <t>TXN0005</t>
  </si>
  <si>
    <t>TXN0006</t>
  </si>
  <si>
    <t>TXN0007</t>
  </si>
  <si>
    <t>TXN0008</t>
  </si>
  <si>
    <t>TXN0009</t>
  </si>
  <si>
    <t>TXN0010</t>
  </si>
  <si>
    <t>TXN0011</t>
  </si>
  <si>
    <t>TXN0012</t>
  </si>
  <si>
    <t>TXN0013</t>
  </si>
  <si>
    <t>TXN0014</t>
  </si>
  <si>
    <t>TXN0015</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</si>
  <si>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</si>
  <si>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</si>
  <si>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</si>
  <si>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</si>
  <si>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</si>
  <si>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</si>
  <si>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</si>
  <si>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</si>
  <si>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</si>
  <si>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</si>
  <si>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</si>
  <si>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</si>
  <si>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</si>
  <si>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</si>
  <si>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</si>
  <si>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</si>
  <si>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</si>
  <si>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</si>
  <si>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</si>
  <si>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</si>
  <si>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</si>
  <si>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</si>
  <si>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</si>
  <si>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</si>
  <si>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</si>
  <si>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</si>
  <si>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</si>
  <si>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</si>
  <si>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</si>
  <si>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</si>
  <si>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</si>
  <si>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</si>
  <si>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</si>
  <si>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</si>
  <si>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</si>
  <si>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</si>
  <si>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</si>
  <si>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</si>
  <si>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</si>
  <si>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</si>
  <si>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</si>
  <si>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</si>
  <si>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</si>
  <si>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</si>
  <si>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</si>
  <si>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</si>
  <si>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</si>
  <si>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</si>
  <si>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</si>
  <si>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</si>
  <si>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</si>
  <si>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</si>
  <si>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</si>
  <si>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</si>
  <si>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</si>
  <si>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</si>
  <si>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</si>
  <si>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</si>
  <si>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</si>
  <si>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</si>
  <si>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</si>
  <si>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</si>
  <si>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</si>
  <si>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</si>
  <si>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</si>
  <si>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</si>
  <si>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</si>
  <si>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</si>
  <si>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</si>
  <si>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</si>
  <si>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</si>
  <si>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</si>
  <si>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</si>
  <si>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</si>
  <si>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</si>
  <si>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</si>
  <si>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</si>
  <si>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</si>
  <si>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</si>
  <si>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</si>
  <si>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</si>
  <si>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</si>
  <si>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</si>
  <si>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</si>
  <si>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</si>
  <si>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</si>
  <si>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</si>
  <si>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</si>
  <si>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</si>
  <si>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</si>
  <si>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</si>
  <si>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</si>
  <si>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</si>
  <si>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</si>
  <si>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</si>
  <si>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</si>
  <si>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</si>
  <si>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</si>
  <si>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</si>
  <si>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</si>
  <si>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</si>
  <si>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</si>
  <si>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</si>
  <si>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</si>
  <si>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</si>
  <si>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</si>
  <si>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</si>
  <si>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</si>
  <si>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</si>
  <si>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</si>
  <si>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</si>
  <si>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</si>
  <si>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</si>
  <si>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</si>
  <si>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</si>
  <si>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</si>
  <si>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</si>
  <si>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</si>
  <si>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</si>
  <si>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</si>
  <si>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</si>
  <si>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</si>
  <si>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</si>
  <si>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</si>
  <si>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</si>
  <si>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</si>
  <si>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</si>
  <si>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</si>
  <si>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</si>
  <si>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</si>
  <si>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</si>
  <si>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</si>
  <si>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</si>
  <si>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</si>
  <si>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</si>
  <si>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</si>
  <si>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</si>
  <si>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</si>
  <si>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</si>
  <si>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</si>
  <si>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</si>
  <si>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</si>
  <si>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</si>
  <si>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</si>
  <si>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</si>
  <si>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</si>
  <si>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</si>
  <si>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</si>
  <si>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</si>
  <si>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</si>
  <si>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</si>
  <si>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</si>
  <si>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</si>
  <si>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</si>
  <si>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</si>
  <si>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</si>
  <si>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</si>
  <si>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</si>
  <si>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</si>
  <si>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</si>
  <si>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</si>
  <si>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</si>
  <si>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</si>
  <si>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</si>
  <si>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</si>
  <si>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</si>
  <si>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</si>
  <si>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</si>
  <si>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</si>
  <si>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</si>
  <si>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</si>
  <si>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</si>
  <si>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</si>
  <si>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</si>
  <si>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</si>
  <si>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</si>
  <si>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</si>
  <si>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</si>
  <si>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</si>
  <si>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</si>
  <si>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</si>
  <si>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</si>
  <si>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</si>
  <si>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</si>
  <si>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</si>
  <si>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</si>
  <si>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</si>
  <si>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</si>
  <si>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</si>
  <si>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</si>
  <si>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</si>
  <si>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</si>
  <si>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</si>
  <si>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</si>
  <si>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</si>
  <si>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</si>
  <si>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</si>
  <si>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</si>
  <si>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</si>
  <si>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</si>
  <si>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</si>
  <si>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</si>
  <si>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</si>
  <si>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</si>
  <si>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</si>
  <si>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</si>
  <si>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</si>
  <si>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</si>
  <si>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</si>
  <si>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</si>
  <si>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</si>
  <si>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</si>
  <si>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</si>
  <si>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</si>
  <si>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</si>
  <si>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</si>
  <si>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</si>
  <si>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</si>
  <si>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</si>
  <si>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</si>
  <si>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</si>
  <si>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</si>
  <si>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</si>
  <si>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</si>
  <si>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</si>
  <si>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</si>
  <si>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</si>
  <si>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</si>
  <si>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</si>
  <si>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</si>
  <si>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</si>
  <si>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</si>
  <si>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</si>
  <si>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</si>
  <si>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</si>
  <si>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</si>
  <si>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</si>
  <si>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</si>
  <si>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</si>
  <si>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</si>
  <si>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</si>
  <si>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</si>
  <si>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</si>
  <si>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</si>
  <si>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</si>
  <si>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</si>
  <si>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</si>
  <si>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</si>
  <si>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</si>
  <si>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</si>
  <si>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</si>
  <si>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</si>
  <si>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</si>
  <si>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</si>
  <si>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</si>
  <si>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</si>
  <si>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</si>
  <si>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</si>
  <si>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</si>
  <si>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</si>
  <si>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</si>
  <si>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</si>
  <si>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</si>
  <si>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</si>
  <si>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</si>
  <si>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</si>
  <si>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</si>
  <si>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</si>
  <si>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</si>
  <si>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</si>
  <si>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</si>
  <si>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</si>
  <si>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</si>
  <si>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</si>
  <si>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</si>
  <si>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</si>
  <si>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</si>
  <si>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</si>
  <si>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</si>
  <si>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</si>
  <si>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</si>
  <si>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</si>
  <si>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</si>
  <si>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</si>
  <si>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</si>
  <si>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Snapshot Date</t>
  </si>
  <si>
    <t>Opening Stock Qty</t>
  </si>
  <si>
    <t>Closing Stock Qty</t>
  </si>
  <si>
    <t>Stock Value</t>
  </si>
  <si>
    <t>Stock Status</t>
  </si>
  <si>
    <t>Normal</t>
  </si>
  <si>
    <t>High Stock</t>
  </si>
  <si>
    <t>Collection ID</t>
  </si>
  <si>
    <t>Invoice Date</t>
  </si>
  <si>
    <t>Invoice Amount</t>
  </si>
  <si>
    <t>Due Date</t>
  </si>
  <si>
    <t>Collection Date</t>
  </si>
  <si>
    <t>Collected Amount</t>
  </si>
  <si>
    <t>Outstanding Amount</t>
  </si>
  <si>
    <t>Collection Status</t>
  </si>
  <si>
    <t>COL001</t>
  </si>
  <si>
    <t>COL002</t>
  </si>
  <si>
    <t>COL003</t>
  </si>
  <si>
    <t>COL004</t>
  </si>
  <si>
    <t>COL005</t>
  </si>
  <si>
    <t>COL006</t>
  </si>
  <si>
    <t>COL007</t>
  </si>
  <si>
    <t>COL008</t>
  </si>
  <si>
    <t>COL009</t>
  </si>
  <si>
    <t>COL010</t>
  </si>
  <si>
    <t>COL011</t>
  </si>
  <si>
    <t>COL012</t>
  </si>
  <si>
    <t>COL013</t>
  </si>
  <si>
    <t>COL014</t>
  </si>
  <si>
    <t>COL015</t>
  </si>
  <si>
    <t>COL016</t>
  </si>
  <si>
    <t>COL017</t>
  </si>
  <si>
    <t>COL018</t>
  </si>
  <si>
    <t>COL019</t>
  </si>
  <si>
    <t>COL020</t>
  </si>
  <si>
    <t>COL021</t>
  </si>
  <si>
    <t>COL022</t>
  </si>
  <si>
    <t>COL023</t>
  </si>
  <si>
    <t>COL024</t>
  </si>
  <si>
    <t>COL025</t>
  </si>
  <si>
    <t>COL026</t>
  </si>
  <si>
    <t>COL027</t>
  </si>
  <si>
    <t>COL028</t>
  </si>
  <si>
    <t>COL029</t>
  </si>
  <si>
    <t>COL030</t>
  </si>
  <si>
    <t>COL031</t>
  </si>
  <si>
    <t>COL032</t>
  </si>
  <si>
    <t>COL033</t>
  </si>
  <si>
    <t>COL034</t>
  </si>
  <si>
    <t>COL035</t>
  </si>
  <si>
    <t>COL036</t>
  </si>
  <si>
    <t>COL037</t>
  </si>
  <si>
    <t>COL038</t>
  </si>
  <si>
    <t>COL039</t>
  </si>
  <si>
    <t>COL040</t>
  </si>
  <si>
    <t>COL041</t>
  </si>
  <si>
    <t>COL042</t>
  </si>
  <si>
    <t>COL043</t>
  </si>
  <si>
    <t>COL044</t>
  </si>
  <si>
    <t>COL045</t>
  </si>
  <si>
    <t>COL046</t>
  </si>
  <si>
    <t>COL047</t>
  </si>
  <si>
    <t>COL048</t>
  </si>
  <si>
    <t>COL049</t>
  </si>
  <si>
    <t>COL050</t>
  </si>
  <si>
    <t>COL051</t>
  </si>
  <si>
    <t>COL052</t>
  </si>
  <si>
    <t>COL053</t>
  </si>
  <si>
    <t>COL054</t>
  </si>
  <si>
    <t>COL055</t>
  </si>
  <si>
    <t>COL056</t>
  </si>
  <si>
    <t>COL057</t>
  </si>
  <si>
    <t>COL058</t>
  </si>
  <si>
    <t>COL059</t>
  </si>
  <si>
    <t>COL060</t>
  </si>
  <si>
    <t>COL061</t>
  </si>
  <si>
    <t>COL062</t>
  </si>
  <si>
    <t>COL063</t>
  </si>
  <si>
    <t>COL064</t>
  </si>
  <si>
    <t>COL065</t>
  </si>
  <si>
    <t>COL066</t>
  </si>
  <si>
    <t>COL067</t>
  </si>
  <si>
    <t>COL068</t>
  </si>
  <si>
    <t>COL069</t>
  </si>
  <si>
    <t>COL070</t>
  </si>
  <si>
    <t>COL071</t>
  </si>
  <si>
    <t>COL072</t>
  </si>
  <si>
    <t>Actual Sales</t>
  </si>
  <si>
    <t>Achievement %</t>
  </si>
  <si>
    <t>Performance Status</t>
  </si>
  <si>
    <t>Target</t>
  </si>
  <si>
    <t>Total Target</t>
  </si>
  <si>
    <t>Total Variance</t>
  </si>
  <si>
    <t>Overall Achievement %</t>
  </si>
  <si>
    <t>Target vs Actual Performance</t>
  </si>
  <si>
    <t>Overall KPI</t>
  </si>
  <si>
    <t>Total Actual Sales</t>
  </si>
  <si>
    <t>Distributor Analysis</t>
  </si>
  <si>
    <t>Total Sales</t>
  </si>
  <si>
    <t>Transaction Count</t>
  </si>
  <si>
    <t>Average Transaction Value</t>
  </si>
  <si>
    <t>Potential Slow-Moving Indicator</t>
  </si>
  <si>
    <t>Distributor KPI Summary</t>
  </si>
  <si>
    <t>Total Distributors</t>
  </si>
  <si>
    <t>Total Stock Value</t>
  </si>
  <si>
    <t>Total Outstanding</t>
  </si>
  <si>
    <t>High Stock Distributors</t>
  </si>
  <si>
    <t>Potential Slow-Moving</t>
  </si>
  <si>
    <t>Product Analysis</t>
  </si>
  <si>
    <t>Total Quantity Sold</t>
  </si>
  <si>
    <t>Average Selling Price</t>
  </si>
  <si>
    <t>Sales Contribution %</t>
  </si>
  <si>
    <t>Product KPI Summary</t>
  </si>
  <si>
    <t>Total Products</t>
  </si>
  <si>
    <t>Sales Rank</t>
  </si>
  <si>
    <t>Top 10 Products by Sales</t>
  </si>
  <si>
    <t>Approx. Months of Distributor Stock</t>
  </si>
  <si>
    <t>Closing Distributor Stock Qty</t>
  </si>
  <si>
    <t>Distributor Stock Value</t>
  </si>
  <si>
    <t>Total Distributor Stock Value</t>
  </si>
  <si>
    <t>Previous Month Sales</t>
  </si>
  <si>
    <t>MoM Growth %</t>
  </si>
  <si>
    <t>3-Month Moving Average</t>
  </si>
  <si>
    <t>Forecast Sales</t>
  </si>
  <si>
    <t>Sales Forecast - Monthly Historical Sales</t>
  </si>
  <si>
    <t>Forecast Month</t>
  </si>
  <si>
    <t>Forecast Method</t>
  </si>
  <si>
    <t>Forecast Summary</t>
  </si>
  <si>
    <t>Last Actual Month</t>
  </si>
  <si>
    <t>Last 3-Month Avg Sales</t>
  </si>
  <si>
    <t>Note</t>
  </si>
  <si>
    <t>Explanation</t>
  </si>
  <si>
    <t>Forecast Type</t>
  </si>
  <si>
    <t>Short-term sales forecast based on the 3-month moving average method.</t>
  </si>
  <si>
    <t>Historical Period</t>
  </si>
  <si>
    <t>Actual company-to-distributor sales from Jan-2026 to Dec-2026.</t>
  </si>
  <si>
    <t>Forecast Period</t>
  </si>
  <si>
    <t>Jan-2027 onward.</t>
  </si>
  <si>
    <t>Forecast Basis</t>
  </si>
  <si>
    <t>Forecast values use the average sales of the most recent three months available.</t>
  </si>
  <si>
    <t>Sales Definition</t>
  </si>
  <si>
    <t>Sales represent company-to-distributor primary sales; distributor sell-out is not included.</t>
  </si>
  <si>
    <t>Data Nature</t>
  </si>
  <si>
    <t>All data in this portfolio workbook is synthetic/illustrative and does not represent actual company results.</t>
  </si>
  <si>
    <t>3-Month Rolling Average</t>
  </si>
  <si>
    <t>Oct-Dec 2026 actual sales</t>
  </si>
  <si>
    <t>Nov-Dec 2026 actual + Jan-27 forecast</t>
  </si>
  <si>
    <t>Dec-26 actual + Jan-Feb 2027 forecast</t>
  </si>
  <si>
    <t>KPI</t>
  </si>
  <si>
    <t>Value</t>
  </si>
  <si>
    <t>Jan-27 Forecast</t>
  </si>
  <si>
    <t>Feb-27 Forecast</t>
  </si>
  <si>
    <t>Mar-27 Forecast</t>
  </si>
  <si>
    <t>Forecast Notes</t>
  </si>
  <si>
    <t>Forecast values are indicative planning estimates based on a 3-month rolling average. February and March forecasts use recursive forecasting because actual 2027 sales are not available.</t>
  </si>
  <si>
    <t>Sales represent synthetic company-to-distributor primary sales data for portfolio analysis. Forecasts should not be interpreted as guaranteed future sales.</t>
  </si>
  <si>
    <t>3-Month Rolling Average — Recursive Forecast</t>
  </si>
  <si>
    <t>2026 Management View - Synthetic Portfolio Data</t>
  </si>
  <si>
    <t>Monthly Sales Trend</t>
  </si>
  <si>
    <t>Sales by City</t>
  </si>
  <si>
    <t>Top Products by Sales</t>
  </si>
  <si>
    <t>Management Insights</t>
  </si>
  <si>
    <t>TOTAL SALES</t>
  </si>
  <si>
    <t>TOTAL TARGET</t>
  </si>
  <si>
    <t>ACHIEVEMENT %</t>
  </si>
  <si>
    <r>
      <t xml:space="preserve">• </t>
    </r>
    <r>
      <rPr>
        <b/>
        <sz val="11"/>
        <color theme="1"/>
        <rFont val="Calibri"/>
        <family val="2"/>
        <scheme val="minor"/>
      </rPr>
      <t>Overall:</t>
    </r>
    <r>
      <rPr>
        <sz val="11"/>
        <color theme="1"/>
        <rFont val="Calibri"/>
        <family val="2"/>
        <scheme val="minor"/>
      </rPr>
      <t xml:space="preserve"> 2026 company sales totaled 60.3M against a target of 348.1M, resulting in 17.3% achievement and a negative sales variance of 287.8M.</t>
    </r>
  </si>
  <si>
    <r>
      <t xml:space="preserve">• </t>
    </r>
    <r>
      <rPr>
        <b/>
        <sz val="11"/>
        <color theme="1"/>
        <rFont val="Calibri"/>
        <family val="2"/>
        <scheme val="minor"/>
      </rPr>
      <t>Monthly:</t>
    </r>
    <r>
      <rPr>
        <sz val="11"/>
        <color theme="1"/>
        <rFont val="Calibri"/>
        <family val="2"/>
        <scheme val="minor"/>
      </rPr>
      <t xml:space="preserve"> sales show variation across 2026, indicating uneven sales performance throughout the year.</t>
    </r>
  </si>
  <si>
    <r>
      <t xml:space="preserve">• </t>
    </r>
    <r>
      <rPr>
        <b/>
        <sz val="11"/>
        <color theme="1"/>
        <rFont val="Calibri"/>
        <family val="2"/>
        <scheme val="minor"/>
      </rPr>
      <t>Product:</t>
    </r>
    <r>
      <rPr>
        <sz val="11"/>
        <color theme="1"/>
        <rFont val="Calibri"/>
        <family val="2"/>
        <scheme val="minor"/>
      </rPr>
      <t xml:space="preserve"> Pandoro Classico was the highest-selling product in 2026 based on company-to-distributor sales.</t>
    </r>
  </si>
  <si>
    <r>
      <t xml:space="preserve">• </t>
    </r>
    <r>
      <rPr>
        <b/>
        <sz val="11"/>
        <color theme="1"/>
        <rFont val="Calibri"/>
        <family val="2"/>
        <scheme val="minor"/>
      </rPr>
      <t>City:</t>
    </r>
    <r>
      <rPr>
        <sz val="11"/>
        <color theme="1"/>
        <rFont val="Calibri"/>
        <family val="2"/>
        <scheme val="minor"/>
      </rPr>
      <t xml:space="preserve"> Islamabad generated the highest company-to-distributor sales among the four cities, making it the largest city-level contributor to 2026 primary sales.</t>
    </r>
  </si>
  <si>
    <t>SALES Variance</t>
  </si>
  <si>
    <t>Parameter</t>
  </si>
  <si>
    <t>Description</t>
  </si>
  <si>
    <t>Reporting Year</t>
  </si>
  <si>
    <t>Primary reporting year for the portfolio model</t>
  </si>
  <si>
    <t>Latest Actual Month</t>
  </si>
  <si>
    <t>Latest month with actual company-to-distributor sales</t>
  </si>
  <si>
    <t>Latest Inventory Snapshot</t>
  </si>
  <si>
    <t>Forecast Horizon (Months)</t>
  </si>
  <si>
    <t>Number of future months included in the forecast</t>
  </si>
  <si>
    <t>Near Target Threshold</t>
  </si>
  <si>
    <t>Target Achievement Threshold</t>
  </si>
  <si>
    <t>Number of Cities</t>
  </si>
  <si>
    <t>Number of RSMs</t>
  </si>
  <si>
    <t>Number of Salespeople</t>
  </si>
  <si>
    <t>Number of Distributors</t>
  </si>
  <si>
    <t>Number of Products</t>
  </si>
  <si>
    <t>Sales Transactions</t>
  </si>
  <si>
    <t>Collection Records</t>
  </si>
  <si>
    <t>Inventory Records</t>
  </si>
  <si>
    <t>Sales Target Records</t>
  </si>
  <si>
    <t>Data Type</t>
  </si>
  <si>
    <t>Synthetic / Illustrative</t>
  </si>
  <si>
    <t>Sales Scope</t>
  </si>
  <si>
    <t>Company-to-Distributor Primary Sales</t>
  </si>
  <si>
    <t>Sales represent company sell-in to distributors</t>
  </si>
  <si>
    <t>Secondary Sales Available</t>
  </si>
  <si>
    <t>No</t>
  </si>
  <si>
    <t>Distributor-to-retailer sell-out data is not included</t>
  </si>
  <si>
    <t>Inventory Scope</t>
  </si>
  <si>
    <t>Distributor Stock</t>
  </si>
  <si>
    <t>Inventory represents distributor stock snapshots</t>
  </si>
  <si>
    <t>Forecast Status</t>
  </si>
  <si>
    <t>Indicative Planning Estimate</t>
  </si>
  <si>
    <t>Portfolio Data Disclaimer</t>
  </si>
  <si>
    <t>SALES VARIANCE</t>
  </si>
  <si>
    <t>FMCG Sales Performance &amp; Target Tracking System</t>
  </si>
  <si>
    <t>Excel 2019 Portfolio Project - Synthetic &amp; Illustrative Data</t>
  </si>
  <si>
    <t>Project Overview</t>
  </si>
  <si>
    <t>This workbook demonstrates an end-to-end FMCG sales performance and target tracking system built in Microsoft Excel 2019. The model covers company-to-distributor primary sales, salesperson targets, distributor stock, collections, product performance, forecasting, and management reporting.</t>
  </si>
  <si>
    <t>Business Scope</t>
  </si>
  <si>
    <t>Sales Scope: Company-to-Distributor Primary Sales (Sell-In)</t>
  </si>
  <si>
    <t>Secondary Sales Available: No — distributor-to-retailer sell-out data is not included.</t>
  </si>
  <si>
    <t>Inventory Scope: Distributor Stock / Inventory Snapshots</t>
  </si>
  <si>
    <t>Reporting Period: 2026</t>
  </si>
  <si>
    <t>Forecast Horizon: 3 Months</t>
  </si>
  <si>
    <t>Key Analytical Areas</t>
  </si>
  <si>
    <t>• Sales Performance</t>
  </si>
  <si>
    <t>• Target vs Actual Analysis</t>
  </si>
  <si>
    <t>• Salesperson and RSM Performance</t>
  </si>
  <si>
    <t>• Distributor Performance</t>
  </si>
  <si>
    <t>• Product Performance</t>
  </si>
  <si>
    <t>• Distributor Stock Analysis</t>
  </si>
  <si>
    <t>• Collections and Outstanding Amounts</t>
  </si>
  <si>
    <t>• Sales Forecasting</t>
  </si>
  <si>
    <t>• Management Dashboard</t>
  </si>
  <si>
    <t>Workbook Structure</t>
  </si>
  <si>
    <t>01_README — Project documentation and usage notes</t>
  </si>
  <si>
    <t>02_Control_Panel — Model controls and assumptions</t>
  </si>
  <si>
    <t>03_Cities — City master data</t>
  </si>
  <si>
    <t>04_Sales_Team — RSM and salesperson master data</t>
  </si>
  <si>
    <t>05_Distributors — Distributor master data</t>
  </si>
  <si>
    <t>06_Products — Product and category master data</t>
  </si>
  <si>
    <t>07_Calendar — Date and reporting calendar</t>
  </si>
  <si>
    <t>08_Sales_Targets — Monthly salesperson targets</t>
  </si>
  <si>
    <t>09_Sales_Transactions — Company-to-distributor sales transactions</t>
  </si>
  <si>
    <t>10_Inventory — Distributor inventory snapshots</t>
  </si>
  <si>
    <t>12_Performance_Calculations — Monthly salesperson performance calculations</t>
  </si>
  <si>
    <t>13_Target_vs_Actual — Target and actual performance reporting</t>
  </si>
  <si>
    <t>14_Distributor_Analysis — Distributor sales, stock and collection analysis</t>
  </si>
  <si>
    <t>15_Product_Analysis — Product sales and stock analysis</t>
  </si>
  <si>
    <t>16_Sales_Forecast — Historical trends and forward forecast</t>
  </si>
  <si>
    <t>17_Management_Dashboard — Executive management view</t>
  </si>
  <si>
    <t>2026 Management View - Synthetic Data - Based on Real-World FMCG Reporting Experience</t>
  </si>
  <si>
    <t>This portfolio project is based on real-world FMCG sales reporting and analytical responsibilities previously performed by the author. All company names, customer/distributor names, products, transactions, targets, inventory records, collection records, and financial figures in this workbook are synthetic and illustrative. The workbook does not reproduce or disclose confidential employer data.</t>
  </si>
  <si>
    <t>Latest distributor inventory snapshot used in analysis</t>
  </si>
  <si>
    <t>Changeable threshold. Achievement at or above this level is classified as Near Target when the Target Achievement Threshold has not been reached.</t>
  </si>
  <si>
    <t>Changeable threshold. Achievement at or above this level is classified as Achieved.</t>
  </si>
  <si>
    <t>Forecast method used for 2027 planning estimates</t>
  </si>
  <si>
    <t>Section 1 — Model Controls</t>
  </si>
  <si>
    <t>Number of cities currently included in the model</t>
  </si>
  <si>
    <t>Number of Regional Sales Managers currently included</t>
  </si>
  <si>
    <t>Number of salespeople currently included</t>
  </si>
  <si>
    <t>Number of active distributors currently included</t>
  </si>
  <si>
    <t>Number of products/SKUs currently included</t>
  </si>
  <si>
    <t>Number of company-to-distributor sales transactions</t>
  </si>
  <si>
    <t>Number of distributor collection records</t>
  </si>
  <si>
    <t>Number of monthly salesperson target records for 2026</t>
  </si>
  <si>
    <t>Section 2 — Model Statistics</t>
  </si>
  <si>
    <t>Portfolio &amp; Business Scope</t>
  </si>
  <si>
    <t>Portfolio dataset created for demonstration; workflow and business context are based on real-world FMCG reporting experience</t>
  </si>
  <si>
    <t>Forecast is an illustrative planning estimate and is not a guaranteed future result</t>
  </si>
  <si>
    <t>Control Usage</t>
  </si>
  <si>
    <t>Control parameters are linked to model calculations where applicable. Near Target Threshold, Target Achievement Threshold, and Latest Inventory Snapshot directly influence model calculations. Model statistics are automatically derived from the underlying Excel Tables. Reporting Year, Forecast Horizon, and Forecast Method document the model scope and assumptions and do not independently rebuild the underlying dataset.</t>
  </si>
  <si>
    <t>12 distributors × 4 quarterly snapshots × 4 selected SKUs = 192 inventory records</t>
  </si>
  <si>
    <t>Sheet</t>
  </si>
  <si>
    <t>Purpose</t>
  </si>
  <si>
    <t>Main Inputs</t>
  </si>
  <si>
    <t>Main Formulas / Techniques</t>
  </si>
  <si>
    <t>Automation / Notes</t>
  </si>
  <si>
    <t>01_README</t>
  </si>
  <si>
    <t>Project overview and usage documentation</t>
  </si>
  <si>
    <t>Workbook scope</t>
  </si>
  <si>
    <t>Documentation</t>
  </si>
  <si>
    <t>Explains synthetic-data and business-scope assumptions</t>
  </si>
  <si>
    <t>02_Control_Panel</t>
  </si>
  <si>
    <t>Model controls, statistics and scope</t>
  </si>
  <si>
    <t>Model parameters and Excel Tables</t>
  </si>
  <si>
    <t>COUNTA, SUMPRODUCT, linked controls</t>
  </si>
  <si>
    <t>Selected controls influence downstream calculations</t>
  </si>
  <si>
    <t>03_Cities</t>
  </si>
  <si>
    <t>City master data</t>
  </si>
  <si>
    <t>City records</t>
  </si>
  <si>
    <t>Excel Table</t>
  </si>
  <si>
    <t>Master data</t>
  </si>
  <si>
    <t>04_Sales_Team</t>
  </si>
  <si>
    <t>RSM and salesperson master</t>
  </si>
  <si>
    <t>Sales team records</t>
  </si>
  <si>
    <t>05_Distributors</t>
  </si>
  <si>
    <t>Distributor master</t>
  </si>
  <si>
    <t>Distributor records</t>
  </si>
  <si>
    <t>06_Products</t>
  </si>
  <si>
    <t>Product/SKU master</t>
  </si>
  <si>
    <t>Product records</t>
  </si>
  <si>
    <t>07_Calendar</t>
  </si>
  <si>
    <t>Date dimension</t>
  </si>
  <si>
    <t>2026 dates</t>
  </si>
  <si>
    <t>YEAR, MONTH, TEXT, ROUNDUP, WEEKNUM, WEEKDAY</t>
  </si>
  <si>
    <t>Supports time-based analysis</t>
  </si>
  <si>
    <t>08_Sales_Targets</t>
  </si>
  <si>
    <t>Monthly salesperson targets</t>
  </si>
  <si>
    <t>Target records</t>
  </si>
  <si>
    <t>Excel Table, SUMIFS downstream</t>
  </si>
  <si>
    <t>Synthetic target-planning dataset</t>
  </si>
  <si>
    <t>09_Sales_Transactions</t>
  </si>
  <si>
    <t>Company-to-distributor sales</t>
  </si>
  <si>
    <t>Sales transactions</t>
  </si>
  <si>
    <t>Quantity × Unit Price</t>
  </si>
  <si>
    <t>Primary sales / sell-in</t>
  </si>
  <si>
    <t>10_Inventory</t>
  </si>
  <si>
    <t>Distributor stock snapshots</t>
  </si>
  <si>
    <t>Quarterly inventory records</t>
  </si>
  <si>
    <t>SUMIFS downstream</t>
  </si>
  <si>
    <t>Selected SKU monitoring sample</t>
  </si>
  <si>
    <t>11_Collections</t>
  </si>
  <si>
    <t>Distributor collections</t>
  </si>
  <si>
    <t>Invoice/payment records</t>
  </si>
  <si>
    <t>IF, arithmetic calculations</t>
  </si>
  <si>
    <t>Tracks collected and outstanding amounts</t>
  </si>
  <si>
    <t>12_Performance_Calculations</t>
  </si>
  <si>
    <t>Monthly salesperson performance</t>
  </si>
  <si>
    <t>Targets + sales + controls</t>
  </si>
  <si>
    <t>SUMIFS, IFERROR, IF</t>
  </si>
  <si>
    <t>Target achievement classification</t>
  </si>
  <si>
    <t>13_Target_vs_Actual</t>
  </si>
  <si>
    <t>Target vs actual reporting</t>
  </si>
  <si>
    <t>Targets + sales</t>
  </si>
  <si>
    <t>Reconciles performance against targets</t>
  </si>
  <si>
    <t>14_Distributor_Analysis</t>
  </si>
  <si>
    <t>Distributor sales, stock and collections</t>
  </si>
  <si>
    <t>Sales + inventory + collections</t>
  </si>
  <si>
    <t>INDEX/MATCH, SUMIFS, COUNTIFS, IF, AND</t>
  </si>
  <si>
    <t>Potential slow-moving indicator</t>
  </si>
  <si>
    <t>15_Product_Analysis</t>
  </si>
  <si>
    <t>Product sales and stock coverage</t>
  </si>
  <si>
    <t>Products + sales + inventory</t>
  </si>
  <si>
    <t>SUMIFS, COUNTIFS, IFERROR, RANK, INDEX/MATCH</t>
  </si>
  <si>
    <t>Product ranking and indicative stock coverage</t>
  </si>
  <si>
    <t>16_Sales_Forecast</t>
  </si>
  <si>
    <t>Historical trend and future estimates</t>
  </si>
  <si>
    <t>SUMIFS, AVERAGE, EDATE, MONTH</t>
  </si>
  <si>
    <t>3-month recursive rolling-average forecast</t>
  </si>
  <si>
    <t>17_Management_Dashboard</t>
  </si>
  <si>
    <t>Management-level KPI visualization</t>
  </si>
  <si>
    <t>Analysis/calculation outputs</t>
  </si>
  <si>
    <t>Linked KPIs + charts</t>
  </si>
  <si>
    <t>Executive reporting view</t>
  </si>
  <si>
    <t>18_Model_Documentation</t>
  </si>
  <si>
    <t>Technical model documentation</t>
  </si>
  <si>
    <t>Workbook structure</t>
  </si>
  <si>
    <t>Formula library and methodology reference</t>
  </si>
  <si>
    <t>Target Planning Methodology</t>
  </si>
  <si>
    <t>Company Target → City Allocation → Salesperson Allocation → Monthly Seasonality
The synthetic 2026 target framework uses a top-down planning concept. The annual company target is allocated across cities using illustrative planning percentages: Karachi 35%, Lahore 30%, Islamabad 20%, and Rawalpindi 15%. Within each city, salesperson targets are conceptually allocated according to assumed territory/distributor potential using a 40% / 35% / 25% allocation. Monthly targets incorporate illustrative seasonality multipliers. These assumptions are synthetic and are not derived from confidential historical company data.</t>
  </si>
  <si>
    <t>Formula / Technique</t>
  </si>
  <si>
    <t>Invoice Amount - Collected Amount</t>
  </si>
  <si>
    <t>SUMIFS</t>
  </si>
  <si>
    <t>Monthly, city, distributor and product aggregation</t>
  </si>
  <si>
    <t>COUNTIFS</t>
  </si>
  <si>
    <t>Transaction and condition counts</t>
  </si>
  <si>
    <t>INDEX + MATCH</t>
  </si>
  <si>
    <t>Master-data lookups</t>
  </si>
  <si>
    <t>IFERROR</t>
  </si>
  <si>
    <t>Error-safe ratios and lookups</t>
  </si>
  <si>
    <t>IF / AND</t>
  </si>
  <si>
    <t>Status and indicator classification</t>
  </si>
  <si>
    <t>RANK</t>
  </si>
  <si>
    <t>Product sales ranking</t>
  </si>
  <si>
    <t>AVERAGE</t>
  </si>
  <si>
    <t>Moving-average and forecast calculations</t>
  </si>
  <si>
    <t>EDATE / MONTH</t>
  </si>
  <si>
    <t>Monthly date handling</t>
  </si>
  <si>
    <t>Control Panel &amp; Automation</t>
  </si>
  <si>
    <r>
      <rPr>
        <b/>
        <sz val="11"/>
        <color theme="1"/>
        <rFont val="Calibri"/>
        <family val="2"/>
        <scheme val="minor"/>
      </rPr>
      <t>Control Panel</t>
    </r>
    <r>
      <rPr>
        <sz val="11"/>
        <color theme="1"/>
        <rFont val="Calibri"/>
        <family val="2"/>
        <scheme val="minor"/>
      </rPr>
      <t xml:space="preserve">: The Control Panel contains configurable model parameters, model statistics, and business-scope documentation.
</t>
    </r>
    <r>
      <rPr>
        <b/>
        <sz val="11"/>
        <color theme="1"/>
        <rFont val="Calibri"/>
        <family val="2"/>
        <scheme val="minor"/>
      </rPr>
      <t>Changeable controls</t>
    </r>
    <r>
      <rPr>
        <sz val="11"/>
        <color theme="1"/>
        <rFont val="Calibri"/>
        <family val="2"/>
        <scheme val="minor"/>
      </rPr>
      <t xml:space="preserve">: Near Target Threshold, Target Achievement Threshold, and Latest Inventory Snapshot are connected to downstream calculations. Changing these values updates the relevant performance classification or inventory analysis.
</t>
    </r>
    <r>
      <rPr>
        <b/>
        <sz val="11"/>
        <color theme="1"/>
        <rFont val="Calibri"/>
        <family val="2"/>
        <scheme val="minor"/>
      </rPr>
      <t>Model statistics</t>
    </r>
    <r>
      <rPr>
        <sz val="11"/>
        <color theme="1"/>
        <rFont val="Calibri"/>
        <family val="2"/>
        <scheme val="minor"/>
      </rPr>
      <t xml:space="preserve">: Counts such as cities, RSMs, salespeople, distributors, products, transactions, collections, inventory records, and target records are derived from the underlying Excel Tables.
</t>
    </r>
    <r>
      <rPr>
        <b/>
        <sz val="11"/>
        <color theme="1"/>
        <rFont val="Calibri"/>
        <family val="2"/>
        <scheme val="minor"/>
      </rPr>
      <t>Scope parameters</t>
    </r>
    <r>
      <rPr>
        <sz val="11"/>
        <color theme="1"/>
        <rFont val="Calibri"/>
        <family val="2"/>
        <scheme val="minor"/>
      </rPr>
      <t>: Reporting Year, Forecast Horizon, and Forecast Method document the model scope and methodology. They do not independently rebuild the underlying dataset.</t>
    </r>
  </si>
  <si>
    <t>18_Model_Documentation — Technical model documentation, methodology, formula library, and automation notes</t>
  </si>
  <si>
    <t>11_Collections — Distributor invoice, payment, and collection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</si>
</sst>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409]d\-mmm\-yyyy;@"/>
    <numFmt numFmtId="165" formatCode="0.0%"/>
    <numFmt numFmtId="166" formatCode="_(* #,##0_);_(* \(#,##0\);_(* &quot;-&quot;??_);_(@_)"/>
    <numFmt numFmtId="167" formatCode="[$-409]mmm\-yy;@"/>
    <numFmt numFmtId="168" formatCode="0.0"/>
    <numFmt numFmtId="169" formatCode="0.0,,&quot;M&quot;"/>
  </numFmts>
  <fonts count="25">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u/>
      <sz val="11"/>
      <color theme="1"/>
      <name val="Calibri"/>
      <family val="2"/>
      <scheme val="minor"/>
    </font>
    <font>
      <sz val="8"/>
      <name val="Calibri"/>
      <family val="2"/>
      <scheme val="minor"/>
    </font>
    <font>
      <sz val="9"/>
      <color theme="1"/>
      <name val="Calibri"/>
      <family val="2"/>
      <scheme val="minor"/>
    </font>
    <font>
      <b/>
      <sz val="16"/>
      <color theme="1"/>
      <name val="Calibri"/>
      <family val="2"/>
      <scheme val="minor"/>
    </font>
    <font>
      <b/>
      <i/>
      <sz val="11"/>
      <color theme="2" tint="-0.749992370372631"/>
      <name val="Calibri"/>
      <family val="2"/>
      <scheme val="minor"/>
    </font>
    <font>
      <b/>
      <sz val="16"/>
      <color rgb="FF4472C4"/>
      <name val="Calibri"/>
      <family val="2"/>
      <scheme val="minor"/>
    </font>
    <font>
      <b/>
      <sz val="16"/>
      <color rgb="FF0070C0"/>
      <name val="Aptos"/>
      <family val="2"/>
    </font>
    <font>
      <b/>
      <sz val="16"/>
      <color rgb="FFFF0000"/>
      <name val="Calibri"/>
      <family val="2"/>
      <scheme val="minor"/>
    </font>
    <font>
      <b/>
      <sz val="10"/>
      <color theme="8" tint="-0.499984740745262"/>
      <name val="Calibri"/>
      <family val="2"/>
      <scheme val="minor"/>
    </font>
    <font>
      <b/>
      <sz val="12"/>
      <color theme="1"/>
      <name val="Calibri"/>
      <family val="2"/>
      <scheme val="minor"/>
    </font>
    <font>
      <b/>
      <sz val="18"/>
      <color theme="1"/>
      <name val="Calibri"/>
      <family val="2"/>
      <scheme val="minor"/>
    </font>
    <font>
      <i/>
      <sz val="11"/>
      <color theme="1"/>
      <name val="Calibri"/>
      <family val="2"/>
      <scheme val="minor"/>
    </font>
    <font>
      <b/>
      <sz val="9"/>
      <color theme="1"/>
      <name val="Calibri"/>
      <family val="2"/>
      <scheme val="minor"/>
    </font>
    <font>
      <b/>
      <u/>
      <sz val="12"/>
      <color theme="1"/>
      <name val="Calibri"/>
      <family val="2"/>
      <scheme val="minor"/>
    </font>
    <font>
      <sz val="8"/>
      <color theme="1"/>
      <name val="Calibri"/>
      <family val="2"/>
      <scheme val="minor"/>
    </font>
    <font>
      <b/>
      <sz val="8"/>
      <color theme="1"/>
      <name val="Calibri"/>
      <family val="2"/>
      <scheme val="minor"/>
    </font>
    <font>
      <b/>
      <u/>
      <sz val="10"/>
      <color theme="1"/>
      <name val="Calibri"/>
      <family val="2"/>
      <scheme val="minor"/>
    </font>
    <font>
      <sz val="10"/>
      <color theme="1"/>
      <name val="Arial Unicode MS"/>
    </font>
    <font>
      <sz val="9"/>
      <color theme="1"/>
      <name val="Arial Unicode MS"/>
    </font>
    <font>
      <sz val="10"/>
      <color theme="1"/>
      <name val="Calibri"/>
      <family val="2"/>
      <scheme val="minor"/>
    </font>
  </fonts>
  <fills count="5">
    <fill>
      <patternFill patternType="none"/>
    </fill>
    <fill>
      <patternFill patternType="gray125"/>
    </fill>
    <fill>
      <patternFill patternType="solid">
        <fgColor rgb="FFF3F6F9"/>
        <bgColor indexed="64"/>
      </patternFill>
    </fill>
    <fill>
      <patternFill patternType="solid">
        <fgColor theme="0"/>
        <bgColor indexed="64"/>
      </patternFill>
    </fill>
    <fill>
      <patternFill patternType="solid">
        <fgColor theme="8"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dotted">
        <color theme="2" tint="-9.9978637043366805E-2"/>
      </top>
      <bottom/>
      <diagonal/>
    </border>
    <border>
      <left style="dotted">
        <color theme="2" tint="-9.9978637043366805E-2"/>
      </left>
      <right/>
      <top style="dotted">
        <color theme="2" tint="-9.9978637043366805E-2"/>
      </top>
      <bottom style="dotted">
        <color theme="2" tint="-9.9978637043366805E-2"/>
      </bottom>
      <diagonal/>
    </border>
    <border>
      <left/>
      <right/>
      <top style="dotted">
        <color theme="2" tint="-9.9978637043366805E-2"/>
      </top>
      <bottom style="dotted">
        <color theme="2" tint="-9.9978637043366805E-2"/>
      </bottom>
      <diagonal/>
    </border>
    <border>
      <left/>
      <right style="dotted">
        <color theme="2" tint="-9.9978637043366805E-2"/>
      </right>
      <top style="dotted">
        <color theme="2" tint="-9.9978637043366805E-2"/>
      </top>
      <bottom style="dotted">
        <color theme="2" tint="-9.9978637043366805E-2"/>
      </bottom>
      <diagonal/>
    </border>
    <border>
      <left style="dotted">
        <color theme="2" tint="-9.9978637043366805E-2"/>
      </left>
      <right/>
      <top/>
      <bottom/>
      <diagonal/>
    </border>
    <border>
      <left/>
      <right/>
      <top/>
      <bottom style="dotted">
        <color theme="2" tint="-9.9978637043366805E-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0">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horizontal="right" vertical="center" wrapText="1"/>
    </xf>
    <xf numFmtId="14" fontId="0" fillId="0" borderId="0" xfId="0" applyNumberFormat="1"/>
    <xf numFmtId="17" fontId="0" fillId="0" borderId="0" xfId="0" applyNumberFormat="1"/>
    <xf numFmtId="17" fontId="0" fillId="0" borderId="0" xfId="0" applyNumberFormat="1" applyAlignment="1">
      <alignment vertical="center" wrapText="1"/>
    </xf>
    <xf numFmtId="1" fontId="0" fillId="0" borderId="0" xfId="0" applyNumberFormat="1" applyAlignment="1">
      <alignment vertical="center" wrapText="1"/>
    </xf>
    <xf numFmtId="1" fontId="0" fillId="0" borderId="0" xfId="0" applyNumberFormat="1"/>
    <xf numFmtId="15" fontId="0" fillId="0" borderId="0" xfId="0" applyNumberFormat="1" applyAlignment="1">
      <alignment vertical="center" wrapText="1"/>
    </xf>
    <xf numFmtId="15" fontId="0" fillId="0" borderId="0" xfId="0" applyNumberFormat="1"/>
    <xf numFmtId="165" fontId="0" fillId="0" borderId="0" xfId="2" applyNumberFormat="1" applyFont="1"/>
    <xf numFmtId="166" fontId="0" fillId="0" borderId="0" xfId="1" applyNumberFormat="1" applyFont="1"/>
    <xf numFmtId="167" fontId="0" fillId="0" borderId="0" xfId="0" applyNumberFormat="1"/>
    <xf numFmtId="0" fontId="5" fillId="0" borderId="0" xfId="0" applyFont="1"/>
    <xf numFmtId="168" fontId="0" fillId="0" borderId="0" xfId="0" applyNumberFormat="1"/>
    <xf numFmtId="0" fontId="5" fillId="0" borderId="0" xfId="0" applyFont="1" applyAlignment="1">
      <alignment vertical="center" wrapText="1"/>
    </xf>
    <xf numFmtId="0" fontId="0" fillId="0" borderId="0" xfId="0" applyAlignment="1">
      <alignment horizontal="right" vertical="center"/>
    </xf>
    <xf numFmtId="165" fontId="0" fillId="0" borderId="1" xfId="2" applyNumberFormat="1" applyFont="1" applyBorder="1"/>
    <xf numFmtId="167" fontId="0" fillId="0" borderId="2" xfId="0" applyNumberFormat="1" applyBorder="1"/>
    <xf numFmtId="167" fontId="0" fillId="0" borderId="4" xfId="0" applyNumberFormat="1" applyBorder="1"/>
    <xf numFmtId="165" fontId="0" fillId="0" borderId="5" xfId="2" applyNumberFormat="1" applyFont="1" applyBorder="1"/>
    <xf numFmtId="167" fontId="0" fillId="0" borderId="7" xfId="0" applyNumberFormat="1" applyBorder="1"/>
    <xf numFmtId="165" fontId="0" fillId="0" borderId="8" xfId="2" applyNumberFormat="1" applyFont="1" applyBorder="1"/>
    <xf numFmtId="0" fontId="2" fillId="0" borderId="10"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3" fontId="0" fillId="0" borderId="3" xfId="0" applyNumberFormat="1" applyBorder="1"/>
    <xf numFmtId="3" fontId="0" fillId="0" borderId="6" xfId="0" applyNumberFormat="1" applyBorder="1"/>
    <xf numFmtId="0" fontId="5" fillId="0" borderId="0" xfId="0" applyFont="1" applyAlignment="1">
      <alignment horizontal="left" vertical="center" wrapText="1"/>
    </xf>
    <xf numFmtId="16" fontId="0" fillId="0" borderId="0" xfId="0" applyNumberFormat="1" applyAlignment="1">
      <alignment horizontal="left" vertical="center" wrapText="1"/>
    </xf>
    <xf numFmtId="3" fontId="0" fillId="0" borderId="0" xfId="0" applyNumberFormat="1" applyAlignment="1">
      <alignment horizontal="left" vertical="center" wrapText="1"/>
    </xf>
    <xf numFmtId="0" fontId="7" fillId="0" borderId="0" xfId="0" applyFont="1" applyAlignment="1">
      <alignment horizontal="left" vertical="center" wrapText="1"/>
    </xf>
    <xf numFmtId="3" fontId="0" fillId="0" borderId="16" xfId="0" applyNumberFormat="1" applyBorder="1" applyAlignment="1">
      <alignment horizontal="left" vertical="center" wrapText="1"/>
    </xf>
    <xf numFmtId="0" fontId="7" fillId="0" borderId="20" xfId="0" applyFont="1" applyBorder="1" applyAlignment="1">
      <alignment horizontal="left" vertical="center" wrapText="1"/>
    </xf>
    <xf numFmtId="0" fontId="2" fillId="0" borderId="0" xfId="0" applyFont="1" applyAlignment="1">
      <alignment horizontal="right" vertical="center"/>
    </xf>
    <xf numFmtId="0" fontId="0" fillId="2" borderId="0" xfId="0" applyFill="1"/>
    <xf numFmtId="0" fontId="0" fillId="2" borderId="25" xfId="0" applyFill="1" applyBorder="1"/>
    <xf numFmtId="0" fontId="3" fillId="0" borderId="0" xfId="0" applyFont="1" applyAlignment="1">
      <alignment horizontal="center" vertical="center"/>
    </xf>
    <xf numFmtId="0" fontId="3" fillId="0" borderId="0" xfId="0" applyFont="1" applyAlignment="1">
      <alignment horizontal="right" vertical="center"/>
    </xf>
    <xf numFmtId="0" fontId="4" fillId="0" borderId="0" xfId="0" applyFont="1" applyAlignment="1">
      <alignment vertical="center"/>
    </xf>
    <xf numFmtId="0" fontId="4" fillId="0" borderId="0" xfId="0" applyFont="1" applyAlignment="1">
      <alignment horizontal="right" vertical="center"/>
    </xf>
    <xf numFmtId="9" fontId="0" fillId="0" borderId="0" xfId="2" applyFont="1"/>
    <xf numFmtId="167" fontId="0" fillId="0" borderId="15" xfId="0" applyNumberFormat="1" applyBorder="1" applyAlignment="1">
      <alignment horizontal="left" vertical="center" wrapText="1"/>
    </xf>
    <xf numFmtId="168" fontId="0" fillId="0" borderId="0" xfId="2" applyNumberFormat="1" applyFont="1"/>
    <xf numFmtId="0" fontId="14" fillId="0" borderId="0" xfId="0" applyFont="1"/>
    <xf numFmtId="0" fontId="17" fillId="0" borderId="0" xfId="0" applyFont="1" applyAlignment="1">
      <alignment wrapText="1"/>
    </xf>
    <xf numFmtId="0" fontId="0" fillId="0" borderId="0" xfId="0" applyAlignment="1">
      <alignment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169" fontId="8" fillId="3" borderId="22" xfId="1" applyNumberFormat="1" applyFont="1" applyFill="1" applyBorder="1" applyAlignment="1">
      <alignment horizontal="center"/>
    </xf>
    <xf numFmtId="169" fontId="8" fillId="3" borderId="23" xfId="1" applyNumberFormat="1" applyFont="1" applyFill="1" applyBorder="1" applyAlignment="1">
      <alignment horizontal="center"/>
    </xf>
    <xf numFmtId="169" fontId="8" fillId="3" borderId="24" xfId="1" applyNumberFormat="1" applyFont="1" applyFill="1" applyBorder="1" applyAlignment="1">
      <alignment horizontal="center"/>
    </xf>
    <xf numFmtId="165" fontId="10" fillId="3" borderId="22" xfId="2" applyNumberFormat="1" applyFont="1" applyFill="1" applyBorder="1" applyAlignment="1">
      <alignment horizontal="center"/>
    </xf>
    <xf numFmtId="165" fontId="10" fillId="3" borderId="23" xfId="2" applyNumberFormat="1" applyFont="1" applyFill="1" applyBorder="1" applyAlignment="1">
      <alignment horizontal="center"/>
    </xf>
    <xf numFmtId="165" fontId="10" fillId="3" borderId="24" xfId="2" applyNumberFormat="1" applyFont="1" applyFill="1" applyBorder="1" applyAlignment="1">
      <alignment horizontal="center"/>
    </xf>
    <xf numFmtId="169" fontId="12" fillId="3" borderId="22" xfId="1" applyNumberFormat="1" applyFont="1" applyFill="1" applyBorder="1" applyAlignment="1">
      <alignment horizontal="center"/>
    </xf>
    <xf numFmtId="169" fontId="12" fillId="3" borderId="23" xfId="1" applyNumberFormat="1" applyFont="1" applyFill="1" applyBorder="1" applyAlignment="1">
      <alignment horizontal="center"/>
    </xf>
    <xf numFmtId="169" fontId="12" fillId="3" borderId="24" xfId="1" applyNumberFormat="1" applyFont="1" applyFill="1" applyBorder="1" applyAlignment="1">
      <alignment horizontal="center"/>
    </xf>
    <xf numFmtId="0" fontId="11" fillId="2" borderId="0" xfId="0" applyFont="1" applyFill="1" applyAlignment="1">
      <alignment horizontal="center"/>
    </xf>
    <xf numFmtId="0" fontId="9" fillId="2" borderId="0" xfId="0" applyFont="1" applyFill="1" applyAlignment="1">
      <alignment horizontal="center"/>
    </xf>
    <xf numFmtId="0" fontId="13" fillId="2" borderId="0" xfId="0" applyFont="1" applyFill="1" applyAlignment="1">
      <alignment horizontal="center" vertical="center"/>
    </xf>
    <xf numFmtId="0" fontId="13" fillId="2" borderId="26" xfId="0" applyFont="1" applyFill="1" applyBorder="1" applyAlignment="1">
      <alignment horizontal="center" vertical="center"/>
    </xf>
    <xf numFmtId="0" fontId="5" fillId="2" borderId="21" xfId="0" applyFont="1" applyFill="1" applyBorder="1" applyAlignment="1">
      <alignment horizontal="center"/>
    </xf>
    <xf numFmtId="0" fontId="5" fillId="2" borderId="0" xfId="0" applyFont="1" applyFill="1" applyAlignment="1">
      <alignment horizontal="center"/>
    </xf>
    <xf numFmtId="0" fontId="15" fillId="0" borderId="0" xfId="0" applyFont="1" applyAlignment="1">
      <alignment horizontal="center"/>
    </xf>
    <xf numFmtId="0" fontId="16" fillId="0" borderId="0" xfId="0" applyFont="1"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164" fontId="0" fillId="0" borderId="0" xfId="0" applyNumberFormat="1" applyAlignment="1">
      <alignment horizontal="center"/>
    </xf>
    <xf numFmtId="0" fontId="0" fillId="0" borderId="0" xfId="0" applyAlignment="1">
      <alignment horizontal="center"/>
    </xf>
    <xf numFmtId="17" fontId="0" fillId="0" borderId="0" xfId="0" applyNumberFormat="1" applyAlignment="1">
      <alignment horizontal="center" vertical="center" wrapText="1"/>
    </xf>
    <xf numFmtId="1" fontId="0" fillId="0" borderId="0" xfId="0" applyNumberFormat="1" applyAlignment="1">
      <alignment horizontal="center" vertical="center" wrapText="1"/>
    </xf>
    <xf numFmtId="17" fontId="0" fillId="0" borderId="0" xfId="0" applyNumberFormat="1" applyAlignment="1">
      <alignment horizontal="center"/>
    </xf>
    <xf numFmtId="1" fontId="0" fillId="0" borderId="0" xfId="0" applyNumberFormat="1" applyAlignment="1">
      <alignment horizontal="center"/>
    </xf>
    <xf numFmtId="3" fontId="0" fillId="0" borderId="0" xfId="0" applyNumberFormat="1" applyAlignment="1">
      <alignment horizontal="center" vertical="center" wrapText="1"/>
    </xf>
    <xf numFmtId="3" fontId="0" fillId="0" borderId="0" xfId="0" applyNumberFormat="1" applyAlignment="1">
      <alignment horizontal="center"/>
    </xf>
    <xf numFmtId="15" fontId="0" fillId="0" borderId="0" xfId="0" applyNumberFormat="1" applyAlignment="1">
      <alignment horizontal="center" vertical="center" wrapText="1"/>
    </xf>
    <xf numFmtId="15" fontId="0" fillId="0" borderId="0" xfId="0" applyNumberFormat="1" applyAlignment="1">
      <alignment horizontal="center"/>
    </xf>
    <xf numFmtId="3" fontId="0" fillId="0" borderId="0" xfId="0" applyNumberFormat="1" applyAlignment="1">
      <alignment vertical="center" wrapText="1"/>
    </xf>
    <xf numFmtId="4" fontId="0" fillId="0" borderId="0" xfId="0" applyNumberFormat="1" applyAlignment="1">
      <alignment horizontal="center"/>
    </xf>
    <xf numFmtId="3" fontId="0" fillId="0" borderId="0" xfId="0" applyNumberFormat="1" applyAlignment="1">
      <alignment horizontal="right"/>
    </xf>
    <xf numFmtId="3" fontId="0" fillId="0" borderId="0" xfId="1" applyNumberFormat="1" applyFont="1" applyAlignment="1">
      <alignment horizontal="right"/>
    </xf>
    <xf numFmtId="165" fontId="0" fillId="0" borderId="0" xfId="2" applyNumberFormat="1" applyFont="1" applyAlignment="1">
      <alignment horizontal="right"/>
    </xf>
    <xf numFmtId="167" fontId="0" fillId="0" borderId="0" xfId="0" applyNumberFormat="1" applyAlignment="1">
      <alignment horizontal="center"/>
    </xf>
    <xf numFmtId="165" fontId="0" fillId="0" borderId="0" xfId="0" applyNumberFormat="1" applyAlignment="1">
      <alignment horizontal="right"/>
    </xf>
    <xf numFmtId="0" fontId="2" fillId="0" borderId="27" xfId="0" applyFont="1" applyBorder="1"/>
    <xf numFmtId="166" fontId="2" fillId="0" borderId="28" xfId="1" applyNumberFormat="1" applyFont="1" applyBorder="1" applyAlignment="1">
      <alignment horizontal="left"/>
    </xf>
    <xf numFmtId="0" fontId="2" fillId="0" borderId="2" xfId="0" applyFont="1" applyBorder="1"/>
    <xf numFmtId="166" fontId="2" fillId="0" borderId="3" xfId="1" applyNumberFormat="1" applyFont="1" applyBorder="1" applyAlignment="1">
      <alignment horizontal="left"/>
    </xf>
    <xf numFmtId="0" fontId="2" fillId="0" borderId="4" xfId="0" applyFont="1" applyBorder="1"/>
    <xf numFmtId="166" fontId="2" fillId="0" borderId="6" xfId="1" applyNumberFormat="1" applyFont="1" applyBorder="1" applyAlignment="1">
      <alignment horizontal="left"/>
    </xf>
    <xf numFmtId="168" fontId="0" fillId="0" borderId="7" xfId="0" applyNumberFormat="1" applyBorder="1" applyAlignment="1">
      <alignment horizontal="center"/>
    </xf>
    <xf numFmtId="0" fontId="0" fillId="0" borderId="8" xfId="0" applyBorder="1" applyAlignment="1">
      <alignment horizontal="center"/>
    </xf>
    <xf numFmtId="168" fontId="0" fillId="0" borderId="2" xfId="0" applyNumberFormat="1" applyBorder="1" applyAlignment="1">
      <alignment horizontal="center"/>
    </xf>
    <xf numFmtId="0" fontId="0" fillId="0" borderId="1" xfId="0" applyBorder="1" applyAlignment="1">
      <alignment horizontal="center"/>
    </xf>
    <xf numFmtId="168" fontId="0" fillId="0" borderId="4" xfId="0" applyNumberFormat="1" applyBorder="1" applyAlignment="1">
      <alignment horizontal="center"/>
    </xf>
    <xf numFmtId="0" fontId="0" fillId="0" borderId="5" xfId="0" applyBorder="1" applyAlignment="1">
      <alignment horizontal="center"/>
    </xf>
    <xf numFmtId="0" fontId="0" fillId="0" borderId="27"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168" fontId="2" fillId="0" borderId="10" xfId="0" applyNumberFormat="1" applyFont="1" applyBorder="1" applyAlignment="1">
      <alignment horizontal="center"/>
    </xf>
    <xf numFmtId="0" fontId="2" fillId="0" borderId="11" xfId="0" applyFont="1" applyBorder="1" applyAlignment="1">
      <alignment horizontal="center"/>
    </xf>
    <xf numFmtId="0" fontId="2" fillId="0" borderId="30" xfId="0" applyFont="1" applyBorder="1" applyAlignment="1">
      <alignment horizontal="center"/>
    </xf>
    <xf numFmtId="3" fontId="2" fillId="0" borderId="15" xfId="1" applyNumberFormat="1" applyFont="1" applyBorder="1" applyAlignment="1">
      <alignment horizontal="right"/>
    </xf>
    <xf numFmtId="3" fontId="2" fillId="0" borderId="16" xfId="1" applyNumberFormat="1" applyFont="1" applyBorder="1" applyAlignment="1">
      <alignment horizontal="right"/>
    </xf>
    <xf numFmtId="3" fontId="2" fillId="0" borderId="3" xfId="1" applyNumberFormat="1" applyFont="1" applyBorder="1" applyAlignment="1">
      <alignment horizontal="right"/>
    </xf>
    <xf numFmtId="3" fontId="2" fillId="0" borderId="6" xfId="1" applyNumberFormat="1" applyFont="1" applyBorder="1" applyAlignment="1">
      <alignment horizontal="right"/>
    </xf>
    <xf numFmtId="3" fontId="2" fillId="0" borderId="28" xfId="0" applyNumberFormat="1" applyFont="1" applyBorder="1" applyAlignment="1">
      <alignment horizontal="right"/>
    </xf>
    <xf numFmtId="0" fontId="18" fillId="0" borderId="0" xfId="0" applyFont="1"/>
    <xf numFmtId="167" fontId="0" fillId="0" borderId="7" xfId="0" applyNumberFormat="1" applyBorder="1" applyAlignment="1">
      <alignment horizontal="center"/>
    </xf>
    <xf numFmtId="0" fontId="0" fillId="0" borderId="8" xfId="0" applyBorder="1" applyAlignment="1">
      <alignment horizontal="center" vertical="center" wrapText="1"/>
    </xf>
    <xf numFmtId="167" fontId="0" fillId="0" borderId="2" xfId="0" applyNumberFormat="1" applyBorder="1" applyAlignment="1">
      <alignment horizontal="center"/>
    </xf>
    <xf numFmtId="0" fontId="0" fillId="0" borderId="1" xfId="0" applyBorder="1" applyAlignment="1">
      <alignment horizontal="center" vertical="center" wrapText="1"/>
    </xf>
    <xf numFmtId="167" fontId="0" fillId="0" borderId="4" xfId="0" applyNumberFormat="1" applyBorder="1" applyAlignment="1">
      <alignment horizontal="center"/>
    </xf>
    <xf numFmtId="0" fontId="0" fillId="0" borderId="5" xfId="0" applyBorder="1" applyAlignment="1">
      <alignment horizontal="center" vertical="center" wrapText="1"/>
    </xf>
    <xf numFmtId="3" fontId="0" fillId="0" borderId="8" xfId="0" applyNumberFormat="1" applyBorder="1"/>
    <xf numFmtId="3" fontId="0" fillId="0" borderId="1" xfId="0" applyNumberFormat="1" applyBorder="1"/>
    <xf numFmtId="3" fontId="0" fillId="0" borderId="5" xfId="0" applyNumberFormat="1" applyBorder="1"/>
    <xf numFmtId="3" fontId="0" fillId="0" borderId="9" xfId="0" applyNumberFormat="1" applyBorder="1"/>
    <xf numFmtId="3" fontId="2" fillId="0" borderId="1" xfId="0" applyNumberFormat="1" applyFont="1" applyBorder="1" applyAlignment="1">
      <alignment horizontal="right" vertical="center" wrapText="1"/>
    </xf>
    <xf numFmtId="3" fontId="2" fillId="0" borderId="5" xfId="0" applyNumberFormat="1" applyFont="1" applyBorder="1" applyAlignment="1">
      <alignment horizontal="right"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3" fontId="2" fillId="0" borderId="29" xfId="0" applyNumberFormat="1" applyFont="1" applyBorder="1" applyAlignment="1">
      <alignment horizontal="right" vertical="center" wrapText="1"/>
    </xf>
    <xf numFmtId="0" fontId="19" fillId="0" borderId="0" xfId="0" applyFont="1" applyAlignment="1">
      <alignment horizontal="left" vertical="center"/>
    </xf>
    <xf numFmtId="0" fontId="19" fillId="0" borderId="0" xfId="0" applyFont="1" applyAlignment="1">
      <alignment vertical="center"/>
    </xf>
    <xf numFmtId="0" fontId="20" fillId="0" borderId="0" xfId="0" applyFont="1" applyAlignment="1">
      <alignment vertical="center" wrapText="1"/>
    </xf>
    <xf numFmtId="0" fontId="21" fillId="0" borderId="0" xfId="0" applyFont="1" applyAlignment="1">
      <alignment horizontal="center" vertical="center" wrapText="1"/>
    </xf>
    <xf numFmtId="167" fontId="0" fillId="0" borderId="27" xfId="0" applyNumberFormat="1" applyBorder="1" applyAlignment="1">
      <alignment horizontal="center" vertical="center"/>
    </xf>
    <xf numFmtId="167" fontId="0" fillId="0" borderId="2" xfId="0" applyNumberFormat="1" applyBorder="1" applyAlignment="1">
      <alignment horizontal="center" vertical="center"/>
    </xf>
    <xf numFmtId="167" fontId="0" fillId="0" borderId="4" xfId="0" applyNumberFormat="1" applyBorder="1" applyAlignment="1">
      <alignment horizontal="center" vertical="center"/>
    </xf>
    <xf numFmtId="0" fontId="7" fillId="0" borderId="28" xfId="0" applyFont="1" applyBorder="1" applyAlignment="1">
      <alignment horizontal="center" vertical="center" wrapText="1"/>
    </xf>
    <xf numFmtId="0" fontId="7" fillId="0" borderId="3"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9" xfId="0" applyBorder="1" applyAlignment="1">
      <alignment horizontal="center" vertical="center" wrapText="1"/>
    </xf>
    <xf numFmtId="9" fontId="0" fillId="0" borderId="0" xfId="0" applyNumberFormat="1" applyAlignment="1">
      <alignment vertical="center" wrapText="1"/>
    </xf>
    <xf numFmtId="0" fontId="0" fillId="0" borderId="0" xfId="0" applyAlignment="1">
      <alignment horizontal="left" vertical="center" wrapText="1"/>
    </xf>
    <xf numFmtId="0" fontId="5" fillId="0" borderId="0" xfId="0" applyFont="1" applyFill="1" applyBorder="1" applyAlignment="1">
      <alignment vertical="center" wrapText="1"/>
    </xf>
    <xf numFmtId="0" fontId="0" fillId="0" borderId="0" xfId="0" applyAlignment="1">
      <alignment horizontal="left" wrapText="1"/>
    </xf>
    <xf numFmtId="167" fontId="0" fillId="0" borderId="0" xfId="0" applyNumberFormat="1" applyAlignment="1">
      <alignment vertical="center" wrapText="1"/>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3" fillId="4" borderId="0" xfId="0" applyFont="1" applyFill="1" applyAlignment="1">
      <alignment horizontal="center" vertical="center"/>
    </xf>
    <xf numFmtId="0" fontId="3" fillId="4" borderId="0" xfId="0" applyFont="1" applyFill="1" applyAlignment="1">
      <alignment horizontal="center" vertical="top"/>
    </xf>
    <xf numFmtId="0" fontId="7" fillId="0" borderId="0" xfId="0" applyFont="1" applyAlignment="1">
      <alignment horizontal="left" wrapText="1"/>
    </xf>
    <xf numFmtId="0" fontId="5" fillId="0" borderId="0" xfId="0" applyFont="1" applyAlignment="1">
      <alignment vertical="center"/>
    </xf>
  </cellXfs>
  <cellStyles count="3">
    <cellStyle name="Comma" xfId="1" builtinId="3"/>
    <cellStyle name="Normal" xfId="0" builtinId="0"/>
    <cellStyle name="Percent" xfId="2" builtinId="5"/>
  </cellStyles>
  <dxfs count="164">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numFmt numFmtId="3" formatCode="#,##0"/>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1" formatCode="0"/>
      <alignment horizontal="center" vertical="bottom" textRotation="0" wrapText="0" indent="0" justifyLastLine="0" shrinkToFit="0" readingOrder="0"/>
    </dxf>
    <dxf>
      <numFmt numFmtId="168" formatCode="0.0"/>
    </dxf>
    <dxf>
      <numFmt numFmtId="3" formatCode="#,##0"/>
      <alignment horizontal="right" vertical="bottom" textRotation="0" wrapText="0" indent="0" justifyLastLine="0" shrinkToFit="0" readingOrder="0"/>
    </dxf>
    <dxf>
      <numFmt numFmtId="165" formatCode="0.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165"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167" formatCode="[$-409]mmm\-yy;@"/>
    </dxf>
    <dxf>
      <alignment horizontal="center" vertical="bottom" textRotation="0" wrapText="0" indent="0" justifyLastLine="0" shrinkToFit="0" readingOrder="0"/>
    </dxf>
    <dxf>
      <numFmt numFmtId="165"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409]mmm\-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 formatCode="0"/>
      <alignment horizontal="center" vertical="center" textRotation="0" wrapText="1" indent="0" justifyLastLine="0" shrinkToFit="0" readingOrder="0"/>
    </dxf>
    <dxf>
      <numFmt numFmtId="22" formatCode="mmm\-yy"/>
    </dxf>
    <dxf>
      <numFmt numFmtId="0" formatCode="General"/>
      <alignment horizontal="center" vertical="bottom" textRotation="0" wrapText="0" indent="0" justifyLastLine="0" shrinkToFit="0" readingOrder="0"/>
    </dxf>
    <dxf>
      <numFmt numFmtId="1" formatCode="0"/>
    </dxf>
    <dxf>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alignment horizontal="center"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textRotation="0" indent="0" justifyLastLine="0" shrinkToFit="0" readingOrder="0"/>
    </dxf>
    <dxf>
      <numFmt numFmtId="20" formatCode="d\-mmm\-yy"/>
      <alignment horizontal="center"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textRotation="0"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22" formatCode="mmm\-yy"/>
      <alignment horizontal="center"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yy;@"/>
      <alignment horizontal="center" vertical="bottom" textRotation="0" wrapText="0" indent="0" justifyLastLine="0" shrinkToFit="0" readingOrder="0"/>
    </dxf>
    <dxf>
      <numFmt numFmtId="164" formatCode="[$-409]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yy;@"/>
      <alignment horizontal="center" vertical="bottom"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border outline="0">
        <left style="medium">
          <color indexed="64"/>
        </left>
        <right style="medium">
          <color indexed="64"/>
        </right>
        <top style="medium">
          <color indexed="64"/>
        </top>
        <bottom style="medium">
          <color indexed="64"/>
        </bottom>
      </border>
    </dxf>
    <dxf>
      <border outline="0">
        <bottom style="medium">
          <color indexed="64"/>
        </bottom>
      </border>
    </dxf>
    <dxf>
      <numFmt numFmtId="1" formatCode="0"/>
    </dxf>
    <dxf>
      <font>
        <b val="0"/>
        <i val="0"/>
        <strike val="0"/>
        <condense val="0"/>
        <extend val="0"/>
        <outline val="0"/>
        <shadow val="0"/>
        <u val="none"/>
        <vertAlign val="baseline"/>
        <sz val="11"/>
        <color theme="1"/>
        <name val="Calibri"/>
        <family val="2"/>
        <scheme val="minor"/>
      </font>
      <numFmt numFmtId="168" formatCode="0.0"/>
    </dxf>
    <dxf>
      <font>
        <b val="0"/>
        <i val="0"/>
        <strike val="0"/>
        <condense val="0"/>
        <extend val="0"/>
        <outline val="0"/>
        <shadow val="0"/>
        <u val="none"/>
        <vertAlign val="baseline"/>
        <sz val="11"/>
        <color theme="1"/>
        <name val="Calibri"/>
        <family val="2"/>
        <scheme val="minor"/>
      </font>
      <numFmt numFmtId="165" formatCode="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0.0%"/>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6" formatCode="_(* #,##0_);_(* \(#,##0\);_(* &quot;-&quot;??_);_(@_)"/>
    </dxf>
    <dxf>
      <numFmt numFmtId="1" formatCode="0"/>
      <alignment horizontal="general" vertical="center" textRotation="0" wrapText="1" indent="0" justifyLastLine="0" shrinkToFit="0" readingOrder="0"/>
    </dxf>
    <dxf>
      <numFmt numFmtId="22" formatCode="mmm\-yy"/>
    </dxf>
    <dxf>
      <numFmt numFmtId="1" formatCode="0"/>
    </dxf>
    <dxf>
      <numFmt numFmtId="1" formatCode="0"/>
    </dxf>
    <dxf>
      <numFmt numFmtId="20" formatCode="d\-mmm\-yy"/>
    </dxf>
    <dxf>
      <alignment horizontal="general" vertical="center" textRotation="0" wrapText="1" indent="0" justifyLastLine="0" shrinkToFit="0" readingOrder="0"/>
    </dxf>
    <dxf>
      <numFmt numFmtId="1" formatCode="0"/>
    </dxf>
    <dxf>
      <numFmt numFmtId="22" formatCode="mmm\-yy"/>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4472C4"/>
      <color rgb="FF17365D"/>
      <color rgb="FFF3F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Target vs Actual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'13_Target_vs_Actual'!$N$10</c:f>
              <c:strCache>
                <c:ptCount val="1"/>
                <c:pt idx="0">
                  <c:v>Target</c:v>
                </c:pt>
              </c:strCache>
            </c:strRef>
          </c:tx>
          <c:spPr>
            <a:solidFill>
              <a:schemeClr val="accent1"/>
            </a:solidFill>
            <a:ln>
              <a:noFill/>
            </a:ln>
            <a:effectLst/>
          </c:spPr>
          <c:invertIfNegative val="0"/>
          <c:cat>
            <c:numRef>
              <c:f>'13_Target_vs_Actual'!$M$11:$M$22</c:f>
              <c:numCache>
                <c:formatCode>[$-409]mmm\-yy;@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'13_Target_vs_Actual'!$N$11:$N$22</c:f>
              <c:numCache>
                <c:formatCode>General</c:formatCode>
                <c:ptCount val="12"/>
                <c:pt idx="0">
                  <c:v>27300000</c:v>
                </c:pt>
                <c:pt idx="1">
                  <c:v>28119000</c:v>
                </c:pt>
                <c:pt idx="2">
                  <c:v>28665000</c:v>
                </c:pt>
                <c:pt idx="3">
                  <c:v>26754000</c:v>
                </c:pt>
                <c:pt idx="4">
                  <c:v>27846000</c:v>
                </c:pt>
                <c:pt idx="5">
                  <c:v>29484000</c:v>
                </c:pt>
                <c:pt idx="6">
                  <c:v>28392000</c:v>
                </c:pt>
                <c:pt idx="7">
                  <c:v>28938000</c:v>
                </c:pt>
                <c:pt idx="8">
                  <c:v>29211000</c:v>
                </c:pt>
                <c:pt idx="9">
                  <c:v>30030000</c:v>
                </c:pt>
                <c:pt idx="10">
                  <c:v>30576000</c:v>
                </c:pt>
                <c:pt idx="11">
                  <c:v>32760000</c:v>
                </c:pt>
              </c:numCache>
            </c:numRef>
          </c:val>
          <c:extLst>
            <c:ext xmlns:c16="http://schemas.microsoft.com/office/drawing/2014/chart" uri="{C3380CC4-5D6E-409C-BE32-E72D297353CC}">
              <c16:uniqueId val="{00000000-4862-4908-ACB0-7B64EFA50791}"/>
            </c:ext>
          </c:extLst>
        </c:ser>
        <c:ser>
          <c:idx val="1"/>
          <c:order val="1"/>
          <c:tx>
            <c:strRef>
              <c:f>'13_Target_vs_Actual'!$O$10</c:f>
              <c:strCache>
                <c:ptCount val="1"/>
                <c:pt idx="0">
                  <c:v>Actual Sales</c:v>
                </c:pt>
              </c:strCache>
            </c:strRef>
          </c:tx>
          <c:spPr>
            <a:solidFill>
              <a:schemeClr val="accent2"/>
            </a:solidFill>
            <a:ln>
              <a:noFill/>
            </a:ln>
            <a:effectLst/>
          </c:spPr>
          <c:invertIfNegative val="0"/>
          <c:cat>
            <c:numRef>
              <c:f>'13_Target_vs_Actual'!$M$11:$M$22</c:f>
              <c:numCache>
                <c:formatCode>[$-409]mmm\-yy;@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'13_Target_vs_Actual'!$O$11:$O$22</c:f>
              <c:numCache>
                <c:formatCode>General</c:formatCode>
                <c:ptCount val="12"/>
                <c:pt idx="0">
                  <c:v>5691250</c:v>
                </c:pt>
                <c:pt idx="1">
                  <c:v>4273750</c:v>
                </c:pt>
                <c:pt idx="2">
                  <c:v>4507750</c:v>
                </c:pt>
                <c:pt idx="3">
                  <c:v>3900000</c:v>
                </c:pt>
                <c:pt idx="4">
                  <c:v>4602250</c:v>
                </c:pt>
                <c:pt idx="5">
                  <c:v>4729000</c:v>
                </c:pt>
                <c:pt idx="6">
                  <c:v>4432750</c:v>
                </c:pt>
                <c:pt idx="7">
                  <c:v>4931500</c:v>
                </c:pt>
                <c:pt idx="8">
                  <c:v>5190750</c:v>
                </c:pt>
                <c:pt idx="9">
                  <c:v>5458250</c:v>
                </c:pt>
                <c:pt idx="10">
                  <c:v>5931000</c:v>
                </c:pt>
                <c:pt idx="11">
                  <c:v>6607500</c:v>
                </c:pt>
              </c:numCache>
            </c:numRef>
          </c:val>
          <c:extLst>
            <c:ext xmlns:c16="http://schemas.microsoft.com/office/drawing/2014/chart" uri="{C3380CC4-5D6E-409C-BE32-E72D297353CC}">
              <c16:uniqueId val="{00000001-4862-4908-ACB0-7B64EFA50791}"/>
            </c:ext>
          </c:extLst>
        </c:ser>
        <c:dLbls>
          <c:showLegendKey val="0"/>
          <c:showVal val="0"/>
          <c:showCatName val="0"/>
          <c:showSerName val="0"/>
          <c:showPercent val="0"/>
          <c:showBubbleSize val="0"/>
        </c:dLbls>
        <c:gapWidth val="219"/>
        <c:overlap val="-27"/>
        <c:axId val="1489909488"/>
        <c:axId val="1489917648"/>
      </c:barChart>
      <c:dateAx>
        <c:axId val="148990948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17648"/>
        <c:crosses val="autoZero"/>
        <c:auto val="1"/>
        <c:lblOffset val="100"/>
        <c:baseTimeUnit val="months"/>
      </c:dateAx>
      <c:valAx>
        <c:axId val="1489917648"/>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0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Products by Sales —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'15_Product_Analysis'!$Q$4</c:f>
              <c:strCache>
                <c:ptCount val="1"/>
                <c:pt idx="0">
                  <c:v>Total Sales</c:v>
                </c:pt>
              </c:strCache>
            </c:strRef>
          </c:tx>
          <c:spPr>
            <a:solidFill>
              <a:schemeClr val="accent1"/>
            </a:solidFill>
            <a:ln>
              <a:noFill/>
            </a:ln>
            <a:effectLst/>
          </c:spPr>
          <c:invertIfNegative val="0"/>
          <c:cat>
            <c:strRef>
              <c:f>'15_Product_Analysis'!$P$5:$P$14</c:f>
              <c:strCache>
                <c:ptCount val="10"/>
                <c:pt idx="0">
                  <c:v>Pandoro Classico</c:v>
                </c:pt>
                <c:pt idx="1">
                  <c:v>Corn Flakes Original</c:v>
                </c:pt>
                <c:pt idx="2">
                  <c:v>Chocolate Panettone</c:v>
                </c:pt>
                <c:pt idx="3">
                  <c:v>Classic Panettone</c:v>
                </c:pt>
                <c:pt idx="4">
                  <c:v>Chocolate Panettone</c:v>
                </c:pt>
                <c:pt idx="5">
                  <c:v>Muesli Classic</c:v>
                </c:pt>
                <c:pt idx="6">
                  <c:v>Granola Honey</c:v>
                </c:pt>
                <c:pt idx="7">
                  <c:v>Mini Croissant Classic</c:v>
                </c:pt>
                <c:pt idx="8">
                  <c:v>Chocolate Cake</c:v>
                </c:pt>
                <c:pt idx="9">
                  <c:v>Chocolate Cake</c:v>
                </c:pt>
              </c:strCache>
            </c:strRef>
          </c:cat>
          <c:val>
            <c:numRef>
              <c:f>'15_Product_Analysis'!$Q$5:$Q$14</c:f>
              <c:numCache>
                <c:formatCode>#,##0</c:formatCode>
                <c:ptCount val="10"/>
                <c:pt idx="0">
                  <c:v>4060000</c:v>
                </c:pt>
                <c:pt idx="1">
                  <c:v>4036500</c:v>
                </c:pt>
                <c:pt idx="2">
                  <c:v>3712500</c:v>
                </c:pt>
                <c:pt idx="3">
                  <c:v>3487000</c:v>
                </c:pt>
                <c:pt idx="4">
                  <c:v>3240000</c:v>
                </c:pt>
                <c:pt idx="5">
                  <c:v>3198000</c:v>
                </c:pt>
                <c:pt idx="6">
                  <c:v>2904000</c:v>
                </c:pt>
                <c:pt idx="7">
                  <c:v>2519000</c:v>
                </c:pt>
                <c:pt idx="8">
                  <c:v>2385000</c:v>
                </c:pt>
                <c:pt idx="9">
                  <c:v>2212500</c:v>
                </c:pt>
              </c:numCache>
            </c:numRef>
          </c:val>
          <c:extLst>
            <c:ext xmlns:c16="http://schemas.microsoft.com/office/drawing/2014/chart" uri="{C3380CC4-5D6E-409C-BE32-E72D297353CC}">
              <c16:uniqueId val="{00000000-D846-4848-B51F-EB5A680F2F2C}"/>
            </c:ext>
          </c:extLst>
        </c:ser>
        <c:dLbls>
          <c:showLegendKey val="0"/>
          <c:showVal val="0"/>
          <c:showCatName val="0"/>
          <c:showSerName val="0"/>
          <c:showPercent val="0"/>
          <c:showBubbleSize val="0"/>
        </c:dLbls>
        <c:gapWidth val="182"/>
        <c:axId val="1275542048"/>
        <c:axId val="1275533888"/>
      </c:barChart>
      <c:catAx>
        <c:axId val="127554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33888"/>
        <c:crosses val="autoZero"/>
        <c:auto val="1"/>
        <c:lblAlgn val="ctr"/>
        <c:lblOffset val="100"/>
        <c:noMultiLvlLbl val="0"/>
      </c:catAx>
      <c:valAx>
        <c:axId val="1275533888"/>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42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Company Sales Trend —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'16_Sales_Forecast'!$C$3</c:f>
              <c:strCache>
                <c:ptCount val="1"/>
                <c:pt idx="0">
                  <c:v>Actual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'16_Sales_Forecast'!$A$4:$A$15</c:f>
              <c:numCache>
                <c:formatCode>[$-409]mmm\-yy;@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'16_Sales_Forecast'!$C$4:$C$15</c:f>
              <c:numCache>
                <c:formatCode>#,##0</c:formatCode>
                <c:ptCount val="12"/>
                <c:pt idx="0">
                  <c:v>5691250</c:v>
                </c:pt>
                <c:pt idx="1">
                  <c:v>4273750</c:v>
                </c:pt>
                <c:pt idx="2">
                  <c:v>4507750</c:v>
                </c:pt>
                <c:pt idx="3">
                  <c:v>3900000</c:v>
                </c:pt>
                <c:pt idx="4">
                  <c:v>4602250</c:v>
                </c:pt>
                <c:pt idx="5">
                  <c:v>4729000</c:v>
                </c:pt>
                <c:pt idx="6">
                  <c:v>4432750</c:v>
                </c:pt>
                <c:pt idx="7">
                  <c:v>4931500</c:v>
                </c:pt>
                <c:pt idx="8">
                  <c:v>5190750</c:v>
                </c:pt>
                <c:pt idx="9">
                  <c:v>5458250</c:v>
                </c:pt>
                <c:pt idx="10">
                  <c:v>5931000</c:v>
                </c:pt>
                <c:pt idx="11">
                  <c:v>6607500</c:v>
                </c:pt>
              </c:numCache>
            </c:numRef>
          </c:val>
          <c:smooth val="0"/>
          <c:extLst>
            <c:ext xmlns:c16="http://schemas.microsoft.com/office/drawing/2014/chart" uri="{C3380CC4-5D6E-409C-BE32-E72D297353CC}">
              <c16:uniqueId val="{00000000-13E9-4186-BD97-BEF8CF7C1204}"/>
            </c:ext>
          </c:extLst>
        </c:ser>
        <c:dLbls>
          <c:showLegendKey val="0"/>
          <c:showVal val="0"/>
          <c:showCatName val="0"/>
          <c:showSerName val="0"/>
          <c:showPercent val="0"/>
          <c:showBubbleSize val="0"/>
        </c:dLbls>
        <c:marker val="1"/>
        <c:smooth val="0"/>
        <c:axId val="1489918608"/>
        <c:axId val="1489927248"/>
      </c:lineChart>
      <c:dateAx>
        <c:axId val="148991860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27248"/>
        <c:crosses val="autoZero"/>
        <c:auto val="1"/>
        <c:lblOffset val="100"/>
        <c:baseTimeUnit val="months"/>
      </c:dateAx>
      <c:valAx>
        <c:axId val="148992724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1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Actual Sales vs Forecast — 2026–2027</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'16_Sales_Forecast'!$J$3</c:f>
              <c:strCache>
                <c:ptCount val="1"/>
                <c:pt idx="0">
                  <c:v>Actual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'16_Sales_Forecast'!$I$4:$I$18</c:f>
              <c:numCache>
                <c:formatCode>[$-409]mmm\-yy;@</c:formatCode>
                <c:ptCount val="15"/>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numCache>
            </c:numRef>
          </c:cat>
          <c:val>
            <c:numRef>
              <c:f>'16_Sales_Forecast'!$J$4:$J$18</c:f>
              <c:numCache>
                <c:formatCode>#,##0</c:formatCode>
                <c:ptCount val="15"/>
                <c:pt idx="0">
                  <c:v>5691250</c:v>
                </c:pt>
                <c:pt idx="1">
                  <c:v>4273750</c:v>
                </c:pt>
                <c:pt idx="2">
                  <c:v>4507750</c:v>
                </c:pt>
                <c:pt idx="3">
                  <c:v>3900000</c:v>
                </c:pt>
                <c:pt idx="4">
                  <c:v>4602250</c:v>
                </c:pt>
                <c:pt idx="5">
                  <c:v>4729000</c:v>
                </c:pt>
                <c:pt idx="6">
                  <c:v>4432750</c:v>
                </c:pt>
                <c:pt idx="7">
                  <c:v>4931500</c:v>
                </c:pt>
                <c:pt idx="8">
                  <c:v>5190750</c:v>
                </c:pt>
                <c:pt idx="9">
                  <c:v>5458250</c:v>
                </c:pt>
                <c:pt idx="10">
                  <c:v>5931000</c:v>
                </c:pt>
                <c:pt idx="11">
                  <c:v>6607500</c:v>
                </c:pt>
              </c:numCache>
            </c:numRef>
          </c:val>
          <c:smooth val="0"/>
          <c:extLst>
            <c:ext xmlns:c16="http://schemas.microsoft.com/office/drawing/2014/chart" uri="{C3380CC4-5D6E-409C-BE32-E72D297353CC}">
              <c16:uniqueId val="{00000000-1A1F-461F-866A-132B1A47ADC2}"/>
            </c:ext>
          </c:extLst>
        </c:ser>
        <c:ser>
          <c:idx val="1"/>
          <c:order val="1"/>
          <c:tx>
            <c:strRef>
              <c:f>'16_Sales_Forecast'!$K$3</c:f>
              <c:strCache>
                <c:ptCount val="1"/>
                <c:pt idx="0">
                  <c:v>Forecast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'16_Sales_Forecast'!$I$4:$I$18</c:f>
              <c:numCache>
                <c:formatCode>[$-409]mmm\-yy;@</c:formatCode>
                <c:ptCount val="15"/>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numCache>
            </c:numRef>
          </c:cat>
          <c:val>
            <c:numRef>
              <c:f>'16_Sales_Forecast'!$K$4:$K$18</c:f>
              <c:numCache>
                <c:formatCode>#,##0</c:formatCode>
                <c:ptCount val="15"/>
                <c:pt idx="12">
                  <c:v>5998916.666666667</c:v>
                </c:pt>
                <c:pt idx="13">
                  <c:v>6179138.888888889</c:v>
                </c:pt>
                <c:pt idx="14">
                  <c:v>6261851.8518518517</c:v>
                </c:pt>
              </c:numCache>
            </c:numRef>
          </c:val>
          <c:smooth val="0"/>
          <c:extLst>
            <c:ext xmlns:c16="http://schemas.microsoft.com/office/drawing/2014/chart" uri="{C3380CC4-5D6E-409C-BE32-E72D297353CC}">
              <c16:uniqueId val="{00000001-1A1F-461F-866A-132B1A47ADC2}"/>
            </c:ext>
          </c:extLst>
        </c:ser>
        <c:dLbls>
          <c:showLegendKey val="0"/>
          <c:showVal val="0"/>
          <c:showCatName val="0"/>
          <c:showSerName val="0"/>
          <c:showPercent val="0"/>
          <c:showBubbleSize val="0"/>
        </c:dLbls>
        <c:marker val="1"/>
        <c:smooth val="0"/>
        <c:axId val="1275561248"/>
        <c:axId val="1275543968"/>
      </c:lineChart>
      <c:dateAx>
        <c:axId val="127556124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43968"/>
        <c:crosses val="autoZero"/>
        <c:auto val="1"/>
        <c:lblOffset val="100"/>
        <c:baseTimeUnit val="months"/>
      </c:dateAx>
      <c:valAx>
        <c:axId val="127554396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61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'16_Sales_Forecast'!$C$3</c:f>
              <c:strCache>
                <c:ptCount val="1"/>
                <c:pt idx="0">
                  <c:v>Actual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0"/>
            <c:marker>
              <c:symbol val="circle"/>
              <c:size val="5"/>
              <c:spPr>
                <a:solidFill>
                  <a:schemeClr val="accent1"/>
                </a:solidFill>
                <a:ln w="9525">
                  <a:solidFill>
                    <a:schemeClr val="accent1"/>
                  </a:solidFill>
                </a:ln>
                <a:effectLst/>
              </c:spPr>
            </c:marker>
            <c:bubble3D val="0"/>
            <c:spPr>
              <a:ln w="28575" cap="rnd">
                <a:solidFill>
                  <a:srgbClr val="4472C4"/>
                </a:solidFill>
                <a:round/>
              </a:ln>
              <a:effectLst/>
            </c:spPr>
            <c:extLst>
              <c:ext xmlns:c16="http://schemas.microsoft.com/office/drawing/2014/chart" uri="{C3380CC4-5D6E-409C-BE32-E72D297353CC}">
                <c16:uniqueId val="{00000001-ED6D-4CDD-A836-518BB83F681A}"/>
              </c:ext>
            </c:extLst>
          </c:dPt>
          <c:cat>
            <c:numRef>
              <c:f>'16_Sales_Forecast'!$A$4:$A$15</c:f>
              <c:numCache>
                <c:formatCode>[$-409]mmm\-yy;@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'16_Sales_Forecast'!$C$4:$C$15</c:f>
              <c:numCache>
                <c:formatCode>#,##0</c:formatCode>
                <c:ptCount val="12"/>
                <c:pt idx="0">
                  <c:v>5691250</c:v>
                </c:pt>
                <c:pt idx="1">
                  <c:v>4273750</c:v>
                </c:pt>
                <c:pt idx="2">
                  <c:v>4507750</c:v>
                </c:pt>
                <c:pt idx="3">
                  <c:v>3900000</c:v>
                </c:pt>
                <c:pt idx="4">
                  <c:v>4602250</c:v>
                </c:pt>
                <c:pt idx="5">
                  <c:v>4729000</c:v>
                </c:pt>
                <c:pt idx="6">
                  <c:v>4432750</c:v>
                </c:pt>
                <c:pt idx="7">
                  <c:v>4931500</c:v>
                </c:pt>
                <c:pt idx="8">
                  <c:v>5190750</c:v>
                </c:pt>
                <c:pt idx="9">
                  <c:v>5458250</c:v>
                </c:pt>
                <c:pt idx="10">
                  <c:v>5931000</c:v>
                </c:pt>
                <c:pt idx="11">
                  <c:v>6607500</c:v>
                </c:pt>
              </c:numCache>
            </c:numRef>
          </c:val>
          <c:smooth val="0"/>
          <c:extLst>
            <c:ext xmlns:c16="http://schemas.microsoft.com/office/drawing/2014/chart" uri="{C3380CC4-5D6E-409C-BE32-E72D297353CC}">
              <c16:uniqueId val="{00000000-ED6D-4CDD-A836-518BB83F681A}"/>
            </c:ext>
          </c:extLst>
        </c:ser>
        <c:dLbls>
          <c:showLegendKey val="0"/>
          <c:showVal val="0"/>
          <c:showCatName val="0"/>
          <c:showSerName val="0"/>
          <c:showPercent val="0"/>
          <c:showBubbleSize val="0"/>
        </c:dLbls>
        <c:marker val="1"/>
        <c:smooth val="0"/>
        <c:axId val="1489918608"/>
        <c:axId val="1489927248"/>
      </c:lineChart>
      <c:dateAx>
        <c:axId val="148991860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27248"/>
        <c:crosses val="autoZero"/>
        <c:auto val="1"/>
        <c:lblOffset val="100"/>
        <c:baseTimeUnit val="months"/>
      </c:dateAx>
      <c:valAx>
        <c:axId val="148992724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1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'13_Target_vs_Actual'!$N$10</c:f>
              <c:strCache>
                <c:ptCount val="1"/>
                <c:pt idx="0">
                  <c:v>Target</c:v>
                </c:pt>
              </c:strCache>
            </c:strRef>
          </c:tx>
          <c:spPr>
            <a:solidFill>
              <a:schemeClr val="accent1"/>
            </a:solidFill>
            <a:ln>
              <a:solidFill>
                <a:srgbClr val="4472C4"/>
              </a:solidFill>
            </a:ln>
            <a:effectLst/>
          </c:spPr>
          <c:invertIfNegative val="0"/>
          <c:cat>
            <c:numRef>
              <c:f>'13_Target_vs_Actual'!$M$11:$M$22</c:f>
              <c:numCache>
                <c:formatCode>[$-409]mmm\-yy;@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'13_Target_vs_Actual'!$N$11:$N$22</c:f>
              <c:numCache>
                <c:formatCode>General</c:formatCode>
                <c:ptCount val="12"/>
                <c:pt idx="0">
                  <c:v>27300000</c:v>
                </c:pt>
                <c:pt idx="1">
                  <c:v>28119000</c:v>
                </c:pt>
                <c:pt idx="2">
                  <c:v>28665000</c:v>
                </c:pt>
                <c:pt idx="3">
                  <c:v>26754000</c:v>
                </c:pt>
                <c:pt idx="4">
                  <c:v>27846000</c:v>
                </c:pt>
                <c:pt idx="5">
                  <c:v>29484000</c:v>
                </c:pt>
                <c:pt idx="6">
                  <c:v>28392000</c:v>
                </c:pt>
                <c:pt idx="7">
                  <c:v>28938000</c:v>
                </c:pt>
                <c:pt idx="8">
                  <c:v>29211000</c:v>
                </c:pt>
                <c:pt idx="9">
                  <c:v>30030000</c:v>
                </c:pt>
                <c:pt idx="10">
                  <c:v>30576000</c:v>
                </c:pt>
                <c:pt idx="11">
                  <c:v>32760000</c:v>
                </c:pt>
              </c:numCache>
            </c:numRef>
          </c:val>
          <c:extLst>
            <c:ext xmlns:c16="http://schemas.microsoft.com/office/drawing/2014/chart" uri="{C3380CC4-5D6E-409C-BE32-E72D297353CC}">
              <c16:uniqueId val="{00000000-D200-4754-92B1-640B07F41F6B}"/>
            </c:ext>
          </c:extLst>
        </c:ser>
        <c:ser>
          <c:idx val="1"/>
          <c:order val="1"/>
          <c:tx>
            <c:strRef>
              <c:f>'13_Target_vs_Actual'!$O$10</c:f>
              <c:strCache>
                <c:ptCount val="1"/>
                <c:pt idx="0">
                  <c:v>Actual Sales</c:v>
                </c:pt>
              </c:strCache>
            </c:strRef>
          </c:tx>
          <c:spPr>
            <a:solidFill>
              <a:schemeClr val="accent2"/>
            </a:solidFill>
            <a:ln>
              <a:noFill/>
            </a:ln>
            <a:effectLst/>
          </c:spPr>
          <c:invertIfNegative val="0"/>
          <c:cat>
            <c:numRef>
              <c:f>'13_Target_vs_Actual'!$M$11:$M$22</c:f>
              <c:numCache>
                <c:formatCode>[$-409]mmm\-yy;@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'13_Target_vs_Actual'!$O$11:$O$22</c:f>
              <c:numCache>
                <c:formatCode>General</c:formatCode>
                <c:ptCount val="12"/>
                <c:pt idx="0">
                  <c:v>5691250</c:v>
                </c:pt>
                <c:pt idx="1">
                  <c:v>4273750</c:v>
                </c:pt>
                <c:pt idx="2">
                  <c:v>4507750</c:v>
                </c:pt>
                <c:pt idx="3">
                  <c:v>3900000</c:v>
                </c:pt>
                <c:pt idx="4">
                  <c:v>4602250</c:v>
                </c:pt>
                <c:pt idx="5">
                  <c:v>4729000</c:v>
                </c:pt>
                <c:pt idx="6">
                  <c:v>4432750</c:v>
                </c:pt>
                <c:pt idx="7">
                  <c:v>4931500</c:v>
                </c:pt>
                <c:pt idx="8">
                  <c:v>5190750</c:v>
                </c:pt>
                <c:pt idx="9">
                  <c:v>5458250</c:v>
                </c:pt>
                <c:pt idx="10">
                  <c:v>5931000</c:v>
                </c:pt>
                <c:pt idx="11">
                  <c:v>6607500</c:v>
                </c:pt>
              </c:numCache>
            </c:numRef>
          </c:val>
          <c:extLst>
            <c:ext xmlns:c16="http://schemas.microsoft.com/office/drawing/2014/chart" uri="{C3380CC4-5D6E-409C-BE32-E72D297353CC}">
              <c16:uniqueId val="{00000001-D200-4754-92B1-640B07F41F6B}"/>
            </c:ext>
          </c:extLst>
        </c:ser>
        <c:dLbls>
          <c:showLegendKey val="0"/>
          <c:showVal val="0"/>
          <c:showCatName val="0"/>
          <c:showSerName val="0"/>
          <c:showPercent val="0"/>
          <c:showBubbleSize val="0"/>
        </c:dLbls>
        <c:gapWidth val="219"/>
        <c:overlap val="-27"/>
        <c:axId val="1489909488"/>
        <c:axId val="1489917648"/>
      </c:barChart>
      <c:dateAx>
        <c:axId val="148990948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17648"/>
        <c:crosses val="autoZero"/>
        <c:auto val="1"/>
        <c:lblOffset val="100"/>
        <c:baseTimeUnit val="months"/>
      </c:dateAx>
      <c:valAx>
        <c:axId val="1489917648"/>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0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'17_Management_Dashboard'!$R$2</c:f>
              <c:strCache>
                <c:ptCount val="1"/>
                <c:pt idx="0">
                  <c:v>Total Sales</c:v>
                </c:pt>
              </c:strCache>
            </c:strRef>
          </c:tx>
          <c:spPr>
            <a:solidFill>
              <a:schemeClr val="accent1"/>
            </a:solidFill>
            <a:ln>
              <a:solidFill>
                <a:srgbClr val="4472C4"/>
              </a:solidFill>
            </a:ln>
            <a:effectLst/>
          </c:spPr>
          <c:invertIfNegative val="0"/>
          <c:cat>
            <c:strRef>
              <c:f>'17_Management_Dashboard'!$Q$3:$Q$6</c:f>
              <c:strCache>
                <c:ptCount val="4"/>
                <c:pt idx="0">
                  <c:v>Karachi</c:v>
                </c:pt>
                <c:pt idx="1">
                  <c:v>Lahore</c:v>
                </c:pt>
                <c:pt idx="2">
                  <c:v>Islamabad</c:v>
                </c:pt>
                <c:pt idx="3">
                  <c:v>Rawalpindi</c:v>
                </c:pt>
              </c:strCache>
            </c:strRef>
          </c:cat>
          <c:val>
            <c:numRef>
              <c:f>'17_Management_Dashboard'!$R$3:$R$6</c:f>
              <c:numCache>
                <c:formatCode>General</c:formatCode>
                <c:ptCount val="4"/>
                <c:pt idx="0">
                  <c:v>11422000</c:v>
                </c:pt>
                <c:pt idx="1">
                  <c:v>17938000</c:v>
                </c:pt>
                <c:pt idx="2">
                  <c:v>18894750</c:v>
                </c:pt>
                <c:pt idx="3">
                  <c:v>12001000</c:v>
                </c:pt>
              </c:numCache>
            </c:numRef>
          </c:val>
          <c:extLst>
            <c:ext xmlns:c16="http://schemas.microsoft.com/office/drawing/2014/chart" uri="{C3380CC4-5D6E-409C-BE32-E72D297353CC}">
              <c16:uniqueId val="{00000000-27F6-416D-9DE9-C92D012AE80F}"/>
            </c:ext>
          </c:extLst>
        </c:ser>
        <c:dLbls>
          <c:showLegendKey val="0"/>
          <c:showVal val="0"/>
          <c:showCatName val="0"/>
          <c:showSerName val="0"/>
          <c:showPercent val="0"/>
          <c:showBubbleSize val="0"/>
        </c:dLbls>
        <c:gapWidth val="219"/>
        <c:overlap val="-27"/>
        <c:axId val="1489940688"/>
        <c:axId val="1489951248"/>
      </c:barChart>
      <c:catAx>
        <c:axId val="148994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51248"/>
        <c:crosses val="autoZero"/>
        <c:auto val="1"/>
        <c:lblAlgn val="ctr"/>
        <c:lblOffset val="100"/>
        <c:noMultiLvlLbl val="0"/>
      </c:catAx>
      <c:valAx>
        <c:axId val="1489951248"/>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94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'15_Product_Analysis'!$Q$4</c:f>
              <c:strCache>
                <c:ptCount val="1"/>
                <c:pt idx="0">
                  <c:v>Total Sales</c:v>
                </c:pt>
              </c:strCache>
            </c:strRef>
          </c:tx>
          <c:spPr>
            <a:solidFill>
              <a:schemeClr val="accent1"/>
            </a:solidFill>
            <a:ln>
              <a:solidFill>
                <a:srgbClr val="4472C4"/>
              </a:solidFill>
            </a:ln>
            <a:effectLst/>
          </c:spPr>
          <c:invertIfNegative val="0"/>
          <c:cat>
            <c:strRef>
              <c:f>'15_Product_Analysis'!$P$5:$P$14</c:f>
              <c:strCache>
                <c:ptCount val="10"/>
                <c:pt idx="0">
                  <c:v>Pandoro Classico</c:v>
                </c:pt>
                <c:pt idx="1">
                  <c:v>Corn Flakes Original</c:v>
                </c:pt>
                <c:pt idx="2">
                  <c:v>Chocolate Panettone</c:v>
                </c:pt>
                <c:pt idx="3">
                  <c:v>Classic Panettone</c:v>
                </c:pt>
                <c:pt idx="4">
                  <c:v>Chocolate Panettone</c:v>
                </c:pt>
                <c:pt idx="5">
                  <c:v>Muesli Classic</c:v>
                </c:pt>
                <c:pt idx="6">
                  <c:v>Granola Honey</c:v>
                </c:pt>
                <c:pt idx="7">
                  <c:v>Mini Croissant Classic</c:v>
                </c:pt>
                <c:pt idx="8">
                  <c:v>Chocolate Cake</c:v>
                </c:pt>
                <c:pt idx="9">
                  <c:v>Chocolate Cake</c:v>
                </c:pt>
              </c:strCache>
            </c:strRef>
          </c:cat>
          <c:val>
            <c:numRef>
              <c:f>'15_Product_Analysis'!$Q$5:$Q$14</c:f>
              <c:numCache>
                <c:formatCode>#,##0</c:formatCode>
                <c:ptCount val="10"/>
                <c:pt idx="0">
                  <c:v>4060000</c:v>
                </c:pt>
                <c:pt idx="1">
                  <c:v>4036500</c:v>
                </c:pt>
                <c:pt idx="2">
                  <c:v>3712500</c:v>
                </c:pt>
                <c:pt idx="3">
                  <c:v>3487000</c:v>
                </c:pt>
                <c:pt idx="4">
                  <c:v>3240000</c:v>
                </c:pt>
                <c:pt idx="5">
                  <c:v>3198000</c:v>
                </c:pt>
                <c:pt idx="6">
                  <c:v>2904000</c:v>
                </c:pt>
                <c:pt idx="7">
                  <c:v>2519000</c:v>
                </c:pt>
                <c:pt idx="8">
                  <c:v>2385000</c:v>
                </c:pt>
                <c:pt idx="9">
                  <c:v>2212500</c:v>
                </c:pt>
              </c:numCache>
            </c:numRef>
          </c:val>
          <c:extLst>
            <c:ext xmlns:c16="http://schemas.microsoft.com/office/drawing/2014/chart" uri="{C3380CC4-5D6E-409C-BE32-E72D297353CC}">
              <c16:uniqueId val="{00000000-1EE5-47D8-A102-0626755B1B74}"/>
            </c:ext>
          </c:extLst>
        </c:ser>
        <c:dLbls>
          <c:showLegendKey val="0"/>
          <c:showVal val="0"/>
          <c:showCatName val="0"/>
          <c:showSerName val="0"/>
          <c:showPercent val="0"/>
          <c:showBubbleSize val="0"/>
        </c:dLbls>
        <c:gapWidth val="182"/>
        <c:axId val="1275542048"/>
        <c:axId val="1275533888"/>
      </c:barChart>
      <c:catAx>
        <c:axId val="127554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75533888"/>
        <c:crosses val="autoZero"/>
        <c:auto val="1"/>
        <c:lblAlgn val="l"/>
        <c:lblOffset val="100"/>
        <c:noMultiLvlLbl val="0"/>
      </c:catAx>
      <c:valAx>
        <c:axId val="1275533888"/>
        <c:scaling>
          <c:orientation val="minMax"/>
        </c:scaling>
        <c:delete val="0"/>
        <c:axPos val="t"/>
        <c:majorGridlines>
          <c:spPr>
            <a:ln w="9525" cap="flat" cmpd="sng" algn="ctr">
              <a:solidFill>
                <a:schemeClr val="tx1">
                  <a:lumMod val="15000"/>
                  <a:lumOff val="85000"/>
                </a:schemeClr>
              </a:solidFill>
              <a:round/>
            </a:ln>
            <a:effectLst/>
          </c:spPr>
        </c:majorGridlines>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42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457200</xdr:colOff>
      <xdr:row>22</xdr:row>
      <xdr:rowOff>90487</xdr:rowOff>
    </xdr:from>
    <xdr:to>
      <xdr:col>18</xdr:col>
      <xdr:colOff>57150</xdr:colOff>
      <xdr:row>36</xdr:row>
      <xdr:rowOff>166687</xdr:rowOff>
    </xdr:to>
    <xdr:graphicFrame macro="">
      <xdr:nvGraphicFramePr>
        <xdr:cNvPr id="2" name="Chart 1">
          <a:extLst>
            <a:ext uri="{FF2B5EF4-FFF2-40B4-BE49-F238E27FC236}">
              <a16:creationId xmlns:a16="http://schemas.microsoft.com/office/drawing/2014/main" id="{837D12B5-B0B0-D155-5F81-7805C61AB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1190625</xdr:colOff>
      <xdr:row>14</xdr:row>
      <xdr:rowOff>23811</xdr:rowOff>
    </xdr:from>
    <xdr:to>
      <xdr:col>17</xdr:col>
      <xdr:colOff>38100</xdr:colOff>
      <xdr:row>28</xdr:row>
      <xdr:rowOff>142874</xdr:rowOff>
    </xdr:to>
    <xdr:graphicFrame macro="">
      <xdr:nvGraphicFramePr>
        <xdr:cNvPr id="2" name="Chart 1">
          <a:extLst>
            <a:ext uri="{FF2B5EF4-FFF2-40B4-BE49-F238E27FC236}">
              <a16:creationId xmlns:a16="http://schemas.microsoft.com/office/drawing/2014/main" id="{3B1BE281-336D-7B3D-4038-4170337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95250</xdr:colOff>
      <xdr:row>0</xdr:row>
      <xdr:rowOff>171450</xdr:rowOff>
    </xdr:from>
    <xdr:to>
      <xdr:col>18</xdr:col>
      <xdr:colOff>400050</xdr:colOff>
      <xdr:row>15</xdr:row>
      <xdr:rowOff>47625</xdr:rowOff>
    </xdr:to>
    <xdr:graphicFrame macro="">
      <xdr:nvGraphicFramePr>
        <xdr:cNvPr id="2" name="Chart 1">
          <a:extLst>
            <a:ext uri="{FF2B5EF4-FFF2-40B4-BE49-F238E27FC236}">
              <a16:creationId xmlns:a16="http://schemas.microsoft.com/office/drawing/2014/main" id="{886A1AC9-A5C1-8854-2BC1-CCD2EEBEA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104775</xdr:colOff>
      <xdr:row>15</xdr:row>
      <xdr:rowOff>119062</xdr:rowOff>
    </xdr:from>
    <xdr:to>
      <xdr:col>18</xdr:col>
      <xdr:colOff>409575</xdr:colOff>
      <xdr:row>24</xdr:row>
      <xdr:rowOff>119062</xdr:rowOff>
    </xdr:to>
    <xdr:graphicFrame macro="">
      <xdr:nvGraphicFramePr>
        <xdr:cNvPr id="4" name="Chart 3">
          <a:extLst>
            <a:ext uri="{FF2B5EF4-FFF2-40B4-BE49-F238E27FC236}">
              <a16:creationId xmlns:a16="http://schemas.microsoft.com/office/drawing/2014/main" id="{AF4B2E3B-6BC9-B943-B280-D112400E8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27214</xdr:rowOff>
    </xdr:from>
    <xdr:to>
      <xdr:col>6</xdr:col>
      <xdr:colOff>557893</xdr:colOff>
      <xdr:row>15</xdr:row>
      <xdr:rowOff>149679</xdr:rowOff>
    </xdr:to>
    <xdr:graphicFrame macro="">
      <xdr:nvGraphicFramePr>
        <xdr:cNvPr id="3" name="Chart 2">
          <a:extLst>
            <a:ext uri="{FF2B5EF4-FFF2-40B4-BE49-F238E27FC236}">
              <a16:creationId xmlns:a16="http://schemas.microsoft.com/office/drawing/2014/main" id="{DF4AF731-4DC3-4DC7-A9AE-E8740637D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585107</xdr:colOff>
      <xdr:row>8</xdr:row>
      <xdr:rowOff>13606</xdr:rowOff>
    </xdr:from>
    <xdr:to>
      <xdr:col>14</xdr:col>
      <xdr:colOff>13607</xdr:colOff>
      <xdr:row>15</xdr:row>
      <xdr:rowOff>163285</xdr:rowOff>
    </xdr:to>
    <xdr:graphicFrame macro="">
      <xdr:nvGraphicFramePr>
        <xdr:cNvPr id="4" name="Chart 3">
          <a:extLst>
            <a:ext uri="{FF2B5EF4-FFF2-40B4-BE49-F238E27FC236}">
              <a16:creationId xmlns:a16="http://schemas.microsoft.com/office/drawing/2014/main" id="{4EB51CE3-4B36-4317-90B9-99DC340CA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13607</xdr:colOff>
      <xdr:row>17</xdr:row>
      <xdr:rowOff>29935</xdr:rowOff>
    </xdr:from>
    <xdr:to>
      <xdr:col>6</xdr:col>
      <xdr:colOff>571500</xdr:colOff>
      <xdr:row>25</xdr:row>
      <xdr:rowOff>176893</xdr:rowOff>
    </xdr:to>
    <xdr:graphicFrame macro="">
      <xdr:nvGraphicFramePr>
        <xdr:cNvPr id="5" name="Chart 4">
          <a:extLst>
            <a:ext uri="{FF2B5EF4-FFF2-40B4-BE49-F238E27FC236}">
              <a16:creationId xmlns:a16="http://schemas.microsoft.com/office/drawing/2014/main" id="{3E4027CF-8B5C-A892-0441-4AD05358D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40821</xdr:colOff>
      <xdr:row>17</xdr:row>
      <xdr:rowOff>2</xdr:rowOff>
    </xdr:from>
    <xdr:to>
      <xdr:col>13</xdr:col>
      <xdr:colOff>557893</xdr:colOff>
      <xdr:row>25</xdr:row>
      <xdr:rowOff>176894</xdr:rowOff>
    </xdr:to>
    <xdr:graphicFrame macro="">
      <xdr:nvGraphicFramePr>
        <xdr:cNvPr id="6" name="Chart 5">
          <a:extLst>
            <a:ext uri="{FF2B5EF4-FFF2-40B4-BE49-F238E27FC236}">
              <a16:creationId xmlns:a16="http://schemas.microsoft.com/office/drawing/2014/main" id="{0212B496-D911-49BA-B4FF-97164F706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C8B490-B67F-406B-8DD9-572ADE4A9F04}" name="tblCities" displayName="tblCities" ref="A1:D5" totalsRowShown="0" headerRowDxfId="163" dataDxfId="162">
  <autoFilter ref="A1:D5" xr:uid="{DDC8B490-B67F-406B-8DD9-572ADE4A9F04}"/>
  <tableColumns count="4">
    <tableColumn id="1" xr3:uid="{40A7916A-C991-4AB2-B5B0-D6DD9BB91E03}" name="City ID" dataDxfId="131"/>
    <tableColumn id="2" xr3:uid="{2278EC89-05AE-4FF3-956F-FAAE5592FEB9}" name="City" dataDxfId="130"/>
    <tableColumn id="3" xr3:uid="{9DBC40CA-DCAC-4E2B-81B9-EF3077F4AE92}" name="Region" dataDxfId="129"/>
    <tableColumn id="4" xr3:uid="{6D811E96-056B-4566-9ACD-6D0BD466FE91}" name="Status" dataDxfId="12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D09BAA-4B3D-46F5-8402-C91102E70171}" name="tblSalesTeam" displayName="tblSalesTeam" ref="A1:E13" totalsRowShown="0" headerRowDxfId="161" dataDxfId="160">
  <autoFilter ref="A1:E13" xr:uid="{63D09BAA-4B3D-46F5-8402-C91102E70171}"/>
  <tableColumns count="5">
    <tableColumn id="1" xr3:uid="{7D3B21DE-23FD-432B-A6C0-4F97A75A6305}" name="RSM ID" dataDxfId="127"/>
    <tableColumn id="2" xr3:uid="{E72D5431-119F-4EE2-A126-3EFE31A356A8}" name="RSM Name" dataDxfId="125"/>
    <tableColumn id="3" xr3:uid="{5CFA707E-39CB-482C-B75D-43C60CB5C2E7}" name="Salesperson ID" dataDxfId="123"/>
    <tableColumn id="4" xr3:uid="{367C2607-170C-41A9-A98D-5F3A7F8E690F}" name="Salesperson Name" dataDxfId="124"/>
    <tableColumn id="5" xr3:uid="{4C3E7764-3F44-403A-B0C6-872B08655658}" name="City ID" dataDxfId="12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34D164-A529-439F-B9A0-F55F8EC0FCC8}" name="tblDistributors" displayName="tblDistributors" ref="A1:F13" totalsRowShown="0" headerRowDxfId="122" dataDxfId="121">
  <autoFilter ref="A1:F13" xr:uid="{6034D164-A529-439F-B9A0-F55F8EC0FCC8}"/>
  <tableColumns count="6">
    <tableColumn id="1" xr3:uid="{20A86552-C40F-40AE-A96E-425F8DE9C60F}" name="Distributor ID" dataDxfId="120"/>
    <tableColumn id="2" xr3:uid="{4875A6BB-97F9-4F4B-9EEB-A5C5079C0A37}" name="Distributor Name" dataDxfId="119"/>
    <tableColumn id="3" xr3:uid="{99DC95AB-7DD7-4E02-997C-38078B8F4191}" name="City ID" dataDxfId="118"/>
    <tableColumn id="4" xr3:uid="{5D6824FC-FACE-458D-B195-426863622241}" name="RSM ID" dataDxfId="117"/>
    <tableColumn id="5" xr3:uid="{5EF84095-97E2-48CD-B3A1-4749A3BE7B65}" name="Salesperson ID" dataDxfId="116"/>
    <tableColumn id="6" xr3:uid="{94A75854-1CEE-4B50-A4E9-8687DBC74A0D}" name="Status" dataDxfId="11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C5434B-A6D5-4539-9460-BEC634A08F15}" name="tblProducts" displayName="tblProducts" ref="A1:G57" totalsRowShown="0" headerRowDxfId="109" dataDxfId="108">
  <autoFilter ref="A1:G57" xr:uid="{B0C5434B-A6D5-4539-9460-BEC634A08F15}"/>
  <tableColumns count="7">
    <tableColumn id="1" xr3:uid="{3FBC3813-8C3B-4C08-ABA8-6A763A725A70}" name="Product ID" dataDxfId="106"/>
    <tableColumn id="2" xr3:uid="{52071C46-8E83-45A3-8224-4C580892524B}" name="Brand" dataDxfId="107"/>
    <tableColumn id="3" xr3:uid="{2949B9C9-7EA6-40F5-B760-6E1DC06D294F}" name="Product Name" dataDxfId="114"/>
    <tableColumn id="4" xr3:uid="{3BF20E5E-57B4-4088-8A96-0CBC6E0066B9}" name="Category" dataDxfId="113"/>
    <tableColumn id="5" xr3:uid="{7709F9A7-1FF0-40D1-93C3-86B43EA1EDD6}" name="Sub-Category" dataDxfId="112"/>
    <tableColumn id="6" xr3:uid="{D1DFAB41-DF8D-4ACD-8768-6E818F86B896}" name="Pack Size" dataDxfId="111"/>
    <tableColumn id="7" xr3:uid="{D8794CE8-610B-4E77-89FC-1464064DB97B}" name="Unit" dataDxfId="11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3DE17E-AF44-4E41-B136-D57F4C6E0CB0}" name="tblCalendar" displayName="tblCalendar" ref="A1:K366" totalsRowShown="0" headerRowDxfId="90">
  <autoFilter ref="A1:K366" xr:uid="{053DE17E-AF44-4E41-B136-D57F4C6E0CB0}"/>
  <tableColumns count="11">
    <tableColumn id="1" xr3:uid="{0C3C6A83-B0FA-49DB-A1EE-111A818291E2}" name="Date" dataDxfId="105">
      <calculatedColumnFormula>A1+1</calculatedColumnFormula>
    </tableColumn>
    <tableColumn id="2" xr3:uid="{C2F0FAEF-5DAE-4451-9CC7-071654FEA25F}" name="Year" dataDxfId="104">
      <calculatedColumnFormula>YEAR(A2)</calculatedColumnFormula>
    </tableColumn>
    <tableColumn id="3" xr3:uid="{49E3EB09-59EE-4260-999A-278FBEF1A73D}" name="Month No" dataDxfId="103">
      <calculatedColumnFormula>MONTH(A2)</calculatedColumnFormula>
    </tableColumn>
    <tableColumn id="4" xr3:uid="{98A78028-B02E-4C58-864B-378CEE4FACB0}" name="Month">
      <calculatedColumnFormula>TEXT(A2,"mmmm")</calculatedColumnFormula>
    </tableColumn>
    <tableColumn id="5" xr3:uid="{31674AF2-EBC2-4B62-8406-8EB6DDC19CA3}" name="Quarter" dataDxfId="102">
      <calculatedColumnFormula>"Q"&amp;ROUNDUP(MONTH(A2)/3,0)</calculatedColumnFormula>
    </tableColumn>
    <tableColumn id="6" xr3:uid="{CCE1FD8D-5432-4860-800F-7C0B22CD7179}" name="Week No" dataDxfId="101">
      <calculatedColumnFormula>WEEKNUM(A2,2)</calculatedColumnFormula>
    </tableColumn>
    <tableColumn id="7" xr3:uid="{D704B488-7E6D-4EF3-A35C-C188335308D3}" name="Week Start" dataDxfId="100">
      <calculatedColumnFormula>A2-WEEKDAY(A2,2)+1</calculatedColumnFormula>
    </tableColumn>
    <tableColumn id="8" xr3:uid="{7CDF3ED6-4DAB-4A5C-B84C-47C21DFF3807}" name="Week End" dataDxfId="99">
      <calculatedColumnFormula>G2+6</calculatedColumnFormula>
    </tableColumn>
    <tableColumn id="9" xr3:uid="{029C7950-754D-4DAE-9EE3-F2A1C0C1D6C2}" name="Day">
      <calculatedColumnFormula>TEXT(A2,"dddd")</calculatedColumnFormula>
    </tableColumn>
    <tableColumn id="10" xr3:uid="{12EE20B2-4EFB-4F0B-BE88-FE51B7749771}" name="Day No" dataDxfId="98">
      <calculatedColumnFormula>WEEKDAY(A2,2)</calculatedColumnFormula>
    </tableColumn>
    <tableColumn id="11" xr3:uid="{9CC4ECF1-BB00-47BE-93B3-3AFD5434EFBE}" name="Month-Year" dataDxfId="97">
      <calculatedColumnFormula>TEXT(A2,"mmm-yyyy")</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3BCDF8-764B-43FF-8E15-89250BF4D53A}" name="tblSalesTargets" displayName="tblSalesTargets" ref="A1:F146" totalsRowCount="1" headerRowDxfId="91" dataDxfId="92">
  <autoFilter ref="A1:F145" xr:uid="{A03BCDF8-764B-43FF-8E15-89250BF4D53A}"/>
  <tableColumns count="6">
    <tableColumn id="1" xr3:uid="{22C5E6AF-1A7A-4D90-A58C-05AF8B36928C}" name="MonthYear" dataDxfId="96" totalsRowDxfId="159"/>
    <tableColumn id="2" xr3:uid="{29D4E8C0-2E45-4388-8DD4-72B681C00EE9}" name="Month No" dataDxfId="95"/>
    <tableColumn id="3" xr3:uid="{F881A03D-36A5-4907-A9AC-01DC60E40ABF}" name="Salesperson ID" dataDxfId="94"/>
    <tableColumn id="4" xr3:uid="{7CC2271B-611A-47FD-92DE-8E737C9C100F}" name="RSM ID" dataDxfId="93"/>
    <tableColumn id="5" xr3:uid="{9B383C3C-0523-49C0-8C3B-8096C0FAD615}" name="City ID" dataDxfId="89"/>
    <tableColumn id="6" xr3:uid="{E324B9A8-CAA8-41CD-885E-A8224FDF7D80}" name="Target Amount" totalsRowFunction="sum" dataDxfId="88" totalsRowDxfId="158"/>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00239E5-15CF-44D7-9159-351FD01D921A}" name="tblSalesTransactions" displayName="tblSalesTransactions" ref="A1:J302" totalsRowCount="1" headerRowDxfId="157">
  <autoFilter ref="A1:J301" xr:uid="{200239E5-15CF-44D7-9159-351FD01D921A}"/>
  <tableColumns count="10">
    <tableColumn id="1" xr3:uid="{FD32454E-FEE1-4E7D-9F76-0E61139D8FC2}" name="Transaction ID" dataDxfId="81"/>
    <tableColumn id="2" xr3:uid="{B65FA57F-6766-442A-A0D2-EFC32EA4AE03}" name="Date" dataDxfId="82" totalsRowDxfId="156"/>
    <tableColumn id="3" xr3:uid="{38351968-BA95-4D42-9E6A-F8A405D93C25}" name="Distributor ID" dataDxfId="83"/>
    <tableColumn id="4" xr3:uid="{AB403AB3-BA43-4378-B0FC-6F7A210F54EB}" name="Salesperson ID" dataDxfId="87"/>
    <tableColumn id="5" xr3:uid="{AFDF0A1F-0CFD-4692-93AC-B377C792ABE6}" name="RSM ID" dataDxfId="86"/>
    <tableColumn id="6" xr3:uid="{DE521037-C1F6-4A8E-8BA6-6B9C4C164E94}" name="City ID" dataDxfId="85"/>
    <tableColumn id="7" xr3:uid="{B03A45AB-AB8A-4296-B0FC-C2E177399257}" name="Product ID" dataDxfId="84"/>
    <tableColumn id="8" xr3:uid="{E5630D03-0050-48EF-A144-6CDA79A28CE0}" name="Quantity" dataDxfId="80" totalsRowDxfId="155"/>
    <tableColumn id="9" xr3:uid="{7C9E9E18-8DBC-4D53-A582-0077B44D0E89}" name="Unit Price" dataDxfId="79" totalsRowDxfId="154"/>
    <tableColumn id="10" xr3:uid="{DF905CCB-0317-43E7-809C-2DD50D138174}" name="Sales Amount" totalsRowFunction="sum" dataDxfId="78">
      <calculatedColumnFormula>H2*I2</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400CE82-F697-4002-BDA8-E1009325652F}" name="tblInventory" displayName="tblInventory" ref="A1:G193" totalsRowShown="0">
  <autoFilter ref="A1:G193" xr:uid="{8400CE82-F697-4002-BDA8-E1009325652F}"/>
  <tableColumns count="7">
    <tableColumn id="1" xr3:uid="{7BA7E8A1-96B1-4D16-8310-596610E5E43B}" name="Snapshot Date" dataDxfId="76"/>
    <tableColumn id="2" xr3:uid="{4EF12C8E-C40F-4679-A830-18798795AE71}" name="Distributor ID" dataDxfId="77"/>
    <tableColumn id="3" xr3:uid="{8BC1CA50-1C6C-4E2A-A4A0-4B0420C9BE3D}" name="Product ID" dataDxfId="75"/>
    <tableColumn id="4" xr3:uid="{1A7B15B1-6E4A-43F7-A59C-A72113AB2F7E}" name="Opening Stock Qty" dataDxfId="74"/>
    <tableColumn id="5" xr3:uid="{BE88EA7C-9424-41B2-971D-1AC9E955264F}" name="Closing Stock Qty" dataDxfId="73"/>
    <tableColumn id="6" xr3:uid="{44E61E93-893F-45F3-8119-564980C6DFDB}" name="Stock Value" dataDxfId="71"/>
    <tableColumn id="7" xr3:uid="{D48F6077-6913-4B1A-A925-3734BFED8478}" name="Stock Status" dataDxfId="7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EEC476-6BFC-4303-A2F9-4B8332F4E609}" name="tblCollections" displayName="tblCollections" ref="A1:L73" totalsRowShown="0">
  <autoFilter ref="A1:L73" xr:uid="{D2EEC476-6BFC-4303-A2F9-4B8332F4E609}"/>
  <tableColumns count="12">
    <tableColumn id="1" xr3:uid="{021D7717-0DAC-46CB-95F9-0930C835AE43}" name="Collection ID" dataDxfId="70"/>
    <tableColumn id="2" xr3:uid="{791CE77C-2BF2-433C-B173-49F23E3ACE56}" name="Invoice Date" dataDxfId="69"/>
    <tableColumn id="3" xr3:uid="{967F47DA-2013-47B0-95A1-9073BE33ABF2}" name="Distributor ID" dataDxfId="68"/>
    <tableColumn id="4" xr3:uid="{EE9E7FDE-C74B-4730-A31E-80660C79A28B}" name="Salesperson ID" dataDxfId="67"/>
    <tableColumn id="5" xr3:uid="{7376523D-D02C-455A-BDFB-1439273668B1}" name="RSM ID" dataDxfId="66"/>
    <tableColumn id="6" xr3:uid="{1106D639-6BDF-41CD-8ECA-75F99CFC752F}" name="City ID" dataDxfId="65"/>
    <tableColumn id="7" xr3:uid="{807B6B13-D8F7-4171-B6A8-BACF697854E3}" name="Invoice Amount" dataDxfId="63"/>
    <tableColumn id="8" xr3:uid="{F1D97C82-F0F8-48A2-824B-2CF85756CCF4}" name="Due Date" dataDxfId="61"/>
    <tableColumn id="9" xr3:uid="{B5AF92AA-D5E0-4E58-A079-384E598832AD}" name="Collection Date" dataDxfId="62"/>
    <tableColumn id="10" xr3:uid="{09B39125-A6E0-4184-AE1A-CB48422A398B}" name="Collected Amount" dataDxfId="64"/>
    <tableColumn id="11" xr3:uid="{3B8D9138-1F18-447F-92EC-BDBE7AF14EB2}" name="Outstanding Amount" dataDxfId="60">
      <calculatedColumnFormula>G2-J2</calculatedColumnFormula>
    </tableColumn>
    <tableColumn id="12" xr3:uid="{DC3E55DC-9D3B-4543-9F46-B0391967F3EA}" name="Collection Status" dataDxfId="59">
      <calculatedColumnFormula>IF(K2=0,"Paid",IF(J2=0,"Outstanding","Partial"))</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71DA266-8977-4936-8BFF-AB65023038F7}" name="tblPerformance" displayName="tblPerformance" ref="A1:J146" totalsRowCount="1">
  <autoFilter ref="A1:J145" xr:uid="{771DA266-8977-4936-8BFF-AB65023038F7}"/>
  <tableColumns count="10">
    <tableColumn id="1" xr3:uid="{89C8F5D4-2581-4E54-9265-DE93251923BB}" name="MonthYear" dataDxfId="58" totalsRowDxfId="153"/>
    <tableColumn id="2" xr3:uid="{66FF4112-44DE-4171-972E-A22D2255069D}" name="Month No" dataDxfId="57" totalsRowDxfId="152">
      <calculatedColumnFormula>ROUNDUP(ROWS($B$2:B2)/12,0)</calculatedColumnFormula>
    </tableColumn>
    <tableColumn id="3" xr3:uid="{807AAEB1-A6A1-439E-BC21-9B8A39ADE9B0}" name="Salesperson ID" dataDxfId="56">
      <calculatedColumnFormula>"SP"&amp;TEXT(MOD(ROWS($C$2:C2)-1,12)+1,"000")</calculatedColumnFormula>
    </tableColumn>
    <tableColumn id="4" xr3:uid="{CD7D70A9-72D0-4BAC-A3B3-A7BEE1BB84BC}" name="RSM ID" dataDxfId="55"/>
    <tableColumn id="5" xr3:uid="{CA72C75C-11C0-444D-A1D6-FF061236111B}" name="City ID" dataDxfId="54"/>
    <tableColumn id="6" xr3:uid="{CE758E34-97EB-4745-8494-51D7E9164CE4}" name="Target Amount" totalsRowFunction="sum" dataDxfId="53" totalsRowDxfId="151" dataCellStyle="Comma" totalsRowCellStyle="Comma">
      <calculatedColumnFormula>SUMIFS(tblSalesTargets[Target Amount],tblSalesTargets[MonthYear],A2,tblSalesTargets[Salesperson ID],C2)</calculatedColumnFormula>
    </tableColumn>
    <tableColumn id="7" xr3:uid="{F8073C00-AFBB-4989-9BCE-7284C9FEE725}" name="Actual Sales" totalsRowFunction="sum" dataDxfId="52" totalsRowDxfId="150">
      <calculatedColumnFormula>SUMIFS(tblSalesTransactions[Sales Amount],tblSalesTransactions[Salesperson ID],C2,tblSalesTransactions[Date],"&gt;="&amp;DATE(YEAR(A2),MONTH(A2),1),tblSalesTransactions[Date],"&lt;"&amp;EDATE(A2,1))</calculatedColumnFormula>
    </tableColumn>
    <tableColumn id="8" xr3:uid="{7C1E8122-066F-49C9-9E56-5C785E342EA4}" name="SALES VARIANCE" totalsRowFunction="sum" dataDxfId="51" totalsRowDxfId="149">
      <calculatedColumnFormula>G2-F2</calculatedColumnFormula>
    </tableColumn>
    <tableColumn id="9" xr3:uid="{DD6B4344-370B-4F28-8D0F-F2E77B6B4B4F}" name="Achievement %" totalsRowFunction="custom" dataDxfId="50" totalsRowDxfId="148" dataCellStyle="Percent" totalsRowCellStyle="Percent">
      <calculatedColumnFormula>IFERROR(G2/F2,0)</calculatedColumnFormula>
      <totalsRowFormula>IFERROR(SUM(tblPerformance[Actual Sales])/SUM(tblPerformance[Target Amount]),0)</totalsRowFormula>
    </tableColumn>
    <tableColumn id="10" xr3:uid="{375915EE-7E6D-410A-9B4F-5E3DD2266CFA}" name="Performance Status" dataDxfId="49" totalsRowDxfId="147">
      <calculatedColumnFormula>IF(I2&gt;='02_Control_Panel'!$B$8,"Achieved",IF(I2&gt;='02_Control_Panel'!$B$7,"Near Target","Below Target"))</calculatedColumnFormula>
    </tableColumn>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38ABE66-3FBD-4C80-892D-337399332FAC}" name="tblTargetVsActual" displayName="tblTargetVsActual" ref="A3:J148" totalsRowCount="1">
  <autoFilter ref="A3:J147" xr:uid="{838ABE66-3FBD-4C80-892D-337399332FAC}"/>
  <tableColumns count="10">
    <tableColumn id="1" xr3:uid="{DF79772F-057B-4CAA-B4B7-14A2D112ED99}" name="MonthYear" dataDxfId="48" totalsRowDxfId="38"/>
    <tableColumn id="2" xr3:uid="{454371D1-1D90-4CB7-BB40-773E0824ADC3}" name="Month No" dataDxfId="47"/>
    <tableColumn id="3" xr3:uid="{91DB7A59-19AD-4879-993E-9436F3F6FE1D}" name="Salesperson ID" dataDxfId="46"/>
    <tableColumn id="4" xr3:uid="{F524A018-E6C9-4564-909B-24F358F68205}" name="RSM ID" dataDxfId="45"/>
    <tableColumn id="5" xr3:uid="{E45A91C3-F81D-4E87-B9B3-3CF24EDBB5CC}" name="City ID" dataDxfId="44"/>
    <tableColumn id="6" xr3:uid="{7DAE11C9-9B19-4ECB-AF6A-7781DF7CB5D7}" name="Target Amount" totalsRowFunction="sum" dataDxfId="43" totalsRowDxfId="37">
      <calculatedColumnFormula>SUMIFS(tblSalesTargets[Target Amount],tblSalesTargets[MonthYear],A4,tblSalesTargets[Salesperson ID],C4)</calculatedColumnFormula>
    </tableColumn>
    <tableColumn id="7" xr3:uid="{19A9144A-C059-43F0-BBCE-2E07E70C773A}" name="Actual Sales" totalsRowFunction="sum" dataDxfId="42" totalsRowDxfId="36">
      <calculatedColumnFormula>SUMIFS(tblSalesTransactions[Sales Amount],tblSalesTransactions[Salesperson ID],C4,tblSalesTransactions[Date],"&gt;="&amp;A4,tblSalesTransactions[Date],"&lt;"&amp;EDATE(A4,1))</calculatedColumnFormula>
    </tableColumn>
    <tableColumn id="8" xr3:uid="{6172B8DA-B57F-4DA8-97E4-AFB5AD41CB18}" name="SALES VARIANCE" totalsRowFunction="sum" dataDxfId="41" totalsRowDxfId="35">
      <calculatedColumnFormula>G4-F4</calculatedColumnFormula>
    </tableColumn>
    <tableColumn id="9" xr3:uid="{45BBB31E-A48E-4E43-AA2A-4FCF56BEC5C2}" name="Achievement %" totalsRowFunction="custom" dataDxfId="40" totalsRowDxfId="34" dataCellStyle="Percent">
      <calculatedColumnFormula>IFERROR(G4/F4,0)</calculatedColumnFormula>
      <totalsRowFormula>tblTargetVsActual[[#Totals],[Actual Sales]]/tblTargetVsActual[[#Totals],[Target Amount]]</totalsRowFormula>
    </tableColumn>
    <tableColumn id="10" xr3:uid="{788D4FAA-F415-488F-B7AF-FD2C096F668C}" name="Performance Status" dataDxfId="39">
      <calculatedColumnFormula>IF(I4&gt;=1,"Achieved",IF(I4&gt;=0.9,"Near Target","Below Target"))</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C87F75C-E30B-415C-B25E-31E006887B49}" name="tblDistributorAnalysis" displayName="tblDistributorAnalysis" ref="A3:M16" totalsRowCount="1">
  <autoFilter ref="A3:M15" xr:uid="{EC87F75C-E30B-415C-B25E-31E006887B49}"/>
  <tableColumns count="13">
    <tableColumn id="1" xr3:uid="{2CFAA877-635E-45DB-B15A-C234BB34A0A3}" name="Distributor ID" dataDxfId="33"/>
    <tableColumn id="2" xr3:uid="{63198902-11CE-4F35-823A-D7307E882B20}" name="Distributor Name" dataDxfId="32">
      <calculatedColumnFormula>IFERROR(INDEX(tblDistributors[Distributor Name],MATCH(A4,tblDistributors[Distributor ID],0)),"")</calculatedColumnFormula>
    </tableColumn>
    <tableColumn id="3" xr3:uid="{F8EC2551-25C4-4302-933B-F9EC157A9445}" name="City ID" dataDxfId="31">
      <calculatedColumnFormula>IFERROR(INDEX(tblDistributors[City ID],MATCH(A4,tblDistributors[Distributor ID],0)),"")</calculatedColumnFormula>
    </tableColumn>
    <tableColumn id="4" xr3:uid="{3C78119F-70C8-4B99-9101-45749A40A588}" name="Salesperson ID" dataDxfId="30">
      <calculatedColumnFormula>IFERROR(INDEX(tblDistributors[Salesperson ID],MATCH(A4,tblDistributors[Distributor ID],0)),"")</calculatedColumnFormula>
    </tableColumn>
    <tableColumn id="5" xr3:uid="{F95C6642-1E65-4106-9CB3-41FE473E7752}" name="Total Sales" totalsRowFunction="sum" dataDxfId="29" totalsRowDxfId="20">
      <calculatedColumnFormula>SUMIFS(tblSalesTransactions[Sales Amount],tblSalesTransactions[Distributor ID],A4)</calculatedColumnFormula>
    </tableColumn>
    <tableColumn id="6" xr3:uid="{7F6701F4-6C92-4370-95D3-A8ADD45CAFBB}" name="Transaction Count" dataDxfId="28" totalsRowDxfId="19">
      <calculatedColumnFormula>COUNTIFS(tblSalesTransactions[Distributor ID],A4)</calculatedColumnFormula>
    </tableColumn>
    <tableColumn id="7" xr3:uid="{6413951D-22B8-4ED0-B798-B5722F8AC42D}" name="Average Transaction Value" dataDxfId="27" totalsRowDxfId="18">
      <calculatedColumnFormula>IFERROR(E4/F4,0)</calculatedColumnFormula>
    </tableColumn>
    <tableColumn id="8" xr3:uid="{A94534F5-A160-45AA-A2B7-557B76C54AD7}" name="Closing Stock Qty" totalsRowFunction="sum" dataDxfId="26" totalsRowDxfId="17">
      <calculatedColumnFormula>SUMIFS(tblInventory[Closing Stock Qty],tblInventory[Distributor ID],A4,tblInventory[Snapshot Date],'02_Control_Panel'!$B$5)</calculatedColumnFormula>
    </tableColumn>
    <tableColumn id="9" xr3:uid="{F481B715-5381-48F6-BA92-A55908646F98}" name="Stock Value" totalsRowFunction="sum" dataDxfId="25" totalsRowDxfId="16">
      <calculatedColumnFormula>SUMIFS(tblInventory[Stock Value],tblInventory[Distributor ID],A4,tblInventory[Snapshot Date],'02_Control_Panel'!$B$5)</calculatedColumnFormula>
    </tableColumn>
    <tableColumn id="10" xr3:uid="{FCD3E744-5891-4027-8987-F174F4BA404B}" name="Outstanding Amount" totalsRowFunction="sum" dataDxfId="24" totalsRowDxfId="15">
      <calculatedColumnFormula>SUMIFS(tblCollections[Outstanding Amount],tblCollections[Distributor ID],A4)</calculatedColumnFormula>
    </tableColumn>
    <tableColumn id="11" xr3:uid="{9954473A-1888-4CD9-8E60-0A8693C451E3}" name="Collection Status" dataDxfId="23">
      <calculatedColumnFormula>IF(J4=0,"Paid",IF(J4&gt;0,"Outstanding","Review"))</calculatedColumnFormula>
    </tableColumn>
    <tableColumn id="12" xr3:uid="{AFCBC166-F0B4-4F97-BBF8-CA71A018B53A}" name="Stock Status" dataDxfId="22">
      <calculatedColumnFormula>IF(COUNTIFS(tblInventory[Distributor ID],A4,tblInventory[Snapshot Date],'02_Control_Panel'!$B$5,tblInventory[Stock Status],"High Stock")&gt;0,"High Stock","Normal")</calculatedColumnFormula>
    </tableColumn>
    <tableColumn id="13" xr3:uid="{2D6A93BF-2A22-47E7-A673-C253711B4157}" name="Potential Slow-Moving Indicator" dataDxfId="21">
      <calculatedColumnFormula>IF(AND(L4="High Stock",E4&gt;0),"Potential Slow-Moving","Normal")</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C2AB28-4CFD-48E1-83E1-53B54CAC6F44}" name="tblProductAnalysis" displayName="tblProductAnalysis" ref="A3:M60" totalsRowCount="1">
  <autoFilter ref="A3:M59" xr:uid="{B9C2AB28-4CFD-48E1-83E1-53B54CAC6F44}"/>
  <tableColumns count="13">
    <tableColumn id="1" xr3:uid="{7EC08043-9100-4754-9C00-67AF5CA4AC83}" name="Product ID" dataDxfId="13"/>
    <tableColumn id="2" xr3:uid="{658C65CA-982F-499F-B3A5-EC9197A35C65}" name="Product Name" dataDxfId="14" totalsRowDxfId="146">
      <calculatedColumnFormula>IFERROR(INDEX(tblProducts[Product Name],MATCH(A4,tblProducts[Product ID],0)),"")</calculatedColumnFormula>
    </tableColumn>
    <tableColumn id="3" xr3:uid="{DF497C02-AB0A-401A-8097-AC4A6DED4ADE}" name="Brand" dataDxfId="145" totalsRowDxfId="144">
      <calculatedColumnFormula>IFERROR(INDEX(tblProducts[Brand],MATCH(A4,tblProducts[Product ID],0)),"")</calculatedColumnFormula>
    </tableColumn>
    <tableColumn id="4" xr3:uid="{E8A8D5B3-7ED3-456E-9F4F-6A3925939C38}" name="Category" dataDxfId="12" totalsRowDxfId="143">
      <calculatedColumnFormula>IFERROR(INDEX(tblProducts[Category],MATCH(A4,tblProducts[Product ID],0)),"")</calculatedColumnFormula>
    </tableColumn>
    <tableColumn id="5" xr3:uid="{86810D73-0317-4649-A4E5-E87A5C844189}" name="Total Quantity Sold" totalsRowFunction="sum" dataDxfId="11" totalsRowDxfId="142">
      <calculatedColumnFormula>SUMIFS(tblSalesTransactions[Quantity],tblSalesTransactions[Product ID],A4)</calculatedColumnFormula>
    </tableColumn>
    <tableColumn id="6" xr3:uid="{8D9F915A-041A-4181-BB82-471325A2989F}" name="Total Sales" totalsRowFunction="sum" dataDxfId="10" totalsRowDxfId="141">
      <calculatedColumnFormula>SUMIFS(tblSalesTransactions[Sales Amount],tblSalesTransactions[Product ID],A4)</calculatedColumnFormula>
    </tableColumn>
    <tableColumn id="7" xr3:uid="{4BCC5135-AE2F-4943-8ABD-5FBE9AF4562A}" name="Transaction Count" dataDxfId="9" totalsRowDxfId="140">
      <calculatedColumnFormula>COUNTIFS(tblSalesTransactions[Product ID],A4)</calculatedColumnFormula>
    </tableColumn>
    <tableColumn id="8" xr3:uid="{1B5A3E6D-F029-4F74-B520-2139333BB53E}" name="Average Selling Price" dataDxfId="8" totalsRowDxfId="139">
      <calculatedColumnFormula>IFERROR(F4/E4,0)</calculatedColumnFormula>
    </tableColumn>
    <tableColumn id="9" xr3:uid="{B9F1F745-C38A-4E95-9A8B-B7D2149F5129}" name="Closing Distributor Stock Qty" dataDxfId="7" totalsRowDxfId="138">
      <calculatedColumnFormula>SUMIFS(tblInventory[Closing Stock Qty],tblInventory[Product ID],A4,tblInventory[Snapshot Date],DATE(2026,12,31))</calculatedColumnFormula>
    </tableColumn>
    <tableColumn id="10" xr3:uid="{B1ECD8ED-B4E1-49BD-AAB2-63D60247C89E}" name="Distributor Stock Value" totalsRowFunction="sum" dataDxfId="5" totalsRowDxfId="137">
      <calculatedColumnFormula>SUMIFS(tblInventory[Stock Value],tblInventory[Product ID],A4,tblInventory[Snapshot Date],DATE(2026,12,31))</calculatedColumnFormula>
    </tableColumn>
    <tableColumn id="11" xr3:uid="{01DE2A9E-D788-4F77-9942-6AAA16BEB4E8}" name="Sales Contribution %" dataDxfId="6" totalsRowDxfId="136" dataCellStyle="Percent" totalsRowCellStyle="Percent">
      <calculatedColumnFormula>IFERROR(F4/SUM(tblProductAnalysis[Total Sales]),0)</calculatedColumnFormula>
    </tableColumn>
    <tableColumn id="17" xr3:uid="{37520298-3902-4984-A75B-78FD79F2F826}" name="Approx. Months of Distributor Stock" dataDxfId="4" totalsRowDxfId="135" dataCellStyle="Percent" totalsRowCellStyle="Percent">
      <calculatedColumnFormula>IFERROR(I4/(E4/12),0)</calculatedColumnFormula>
    </tableColumn>
    <tableColumn id="14" xr3:uid="{C37A0CD6-D2A8-4A1F-A83E-4469345033A5}" name="Sales Rank" dataDxfId="3" totalsRowDxfId="134">
      <calculatedColumnFormula>RANK(F4,$F$4:$F$59,0)+COUNTIF($F$4:F4,F4)-1</calculatedColumnFormula>
    </tableColumn>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EA126CF-A2AA-4211-BD69-421021D8BA43}" name="tblForecastSummary" displayName="tblForecastSummary" ref="F20:G26" totalsRowShown="0" headerRowDxfId="2" headerRowBorderDxfId="133" tableBorderDxfId="132">
  <tableColumns count="2">
    <tableColumn id="1" xr3:uid="{EEA6AFBD-884C-479C-B023-8716DE625429}" name="KPI" dataDxfId="0"/>
    <tableColumn id="2" xr3:uid="{475E7DC2-7819-4660-BA1F-AB4EF0F9B105}" name="Valu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B5F5-B1D3-4F73-AA1D-0908CB321223}">
  <dimension ref="A1:A49"/>
  <sheetViews>
    <sheetView showGridLines="0" tabSelected="1" workbookViewId="0"/>
  </sheetViews>
  <sheetFormatPr defaultRowHeight="15"/>
  <cols>
    <col min="1" max="1" width="124.42578125" customWidth="1"/>
  </cols>
  <sheetData>
    <row r="1" spans="1:1" ht="30" customHeight="1">
      <c r="A1" s="68" t="s">
        <v>717</v>
      </c>
    </row>
    <row r="2" spans="1:1" ht="20.100000000000001" customHeight="1">
      <c r="A2" s="69" t="s">
        <v>718</v>
      </c>
    </row>
    <row r="4" spans="1:1" ht="15.75">
      <c r="A4" s="47" t="s">
        <v>719</v>
      </c>
    </row>
    <row r="5" spans="1:1" ht="60">
      <c r="A5" s="49" t="s">
        <v>720</v>
      </c>
    </row>
    <row r="7" spans="1:1" ht="15.75">
      <c r="A7" s="47" t="s">
        <v>715</v>
      </c>
    </row>
    <row r="8" spans="1:1" ht="36.75">
      <c r="A8" s="48" t="s">
        <v>755</v>
      </c>
    </row>
    <row r="10" spans="1:1" ht="15.75">
      <c r="A10" s="47" t="s">
        <v>721</v>
      </c>
    </row>
    <row r="11" spans="1:1">
      <c r="A11" s="49" t="s">
        <v>722</v>
      </c>
    </row>
    <row r="12" spans="1:1">
      <c r="A12" s="49" t="s">
        <v>723</v>
      </c>
    </row>
    <row r="13" spans="1:1">
      <c r="A13" s="49" t="s">
        <v>724</v>
      </c>
    </row>
    <row r="14" spans="1:1">
      <c r="A14" s="49" t="s">
        <v>725</v>
      </c>
    </row>
    <row r="15" spans="1:1">
      <c r="A15" t="s">
        <v>726</v>
      </c>
    </row>
    <row r="17" spans="1:1" ht="15.75">
      <c r="A17" s="47" t="s">
        <v>882</v>
      </c>
    </row>
    <row r="18" spans="1:1" ht="150">
      <c r="A18" s="49" t="s">
        <v>883</v>
      </c>
    </row>
    <row r="19" spans="1:1">
      <c r="A19" s="49"/>
    </row>
    <row r="20" spans="1:1" ht="15.75">
      <c r="A20" s="47" t="s">
        <v>727</v>
      </c>
    </row>
    <row r="21" spans="1:1">
      <c r="A21" t="s">
        <v>728</v>
      </c>
    </row>
    <row r="22" spans="1:1">
      <c r="A22" t="s">
        <v>729</v>
      </c>
    </row>
    <row r="23" spans="1:1">
      <c r="A23" t="s">
        <v>730</v>
      </c>
    </row>
    <row r="24" spans="1:1">
      <c r="A24" t="s">
        <v>731</v>
      </c>
    </row>
    <row r="25" spans="1:1">
      <c r="A25" t="s">
        <v>732</v>
      </c>
    </row>
    <row r="26" spans="1:1">
      <c r="A26" t="s">
        <v>733</v>
      </c>
    </row>
    <row r="27" spans="1:1">
      <c r="A27" t="s">
        <v>734</v>
      </c>
    </row>
    <row r="28" spans="1:1">
      <c r="A28" t="s">
        <v>735</v>
      </c>
    </row>
    <row r="29" spans="1:1">
      <c r="A29" t="s">
        <v>736</v>
      </c>
    </row>
    <row r="31" spans="1:1" ht="15.75">
      <c r="A31" s="47" t="s">
        <v>737</v>
      </c>
    </row>
    <row r="32" spans="1:1">
      <c r="A32" t="s">
        <v>738</v>
      </c>
    </row>
    <row r="33" spans="1:1">
      <c r="A33" t="s">
        <v>739</v>
      </c>
    </row>
    <row r="34" spans="1:1">
      <c r="A34" t="s">
        <v>740</v>
      </c>
    </row>
    <row r="35" spans="1:1">
      <c r="A35" t="s">
        <v>741</v>
      </c>
    </row>
    <row r="36" spans="1:1">
      <c r="A36" t="s">
        <v>742</v>
      </c>
    </row>
    <row r="37" spans="1:1">
      <c r="A37" t="s">
        <v>743</v>
      </c>
    </row>
    <row r="38" spans="1:1">
      <c r="A38" t="s">
        <v>744</v>
      </c>
    </row>
    <row r="39" spans="1:1">
      <c r="A39" t="s">
        <v>745</v>
      </c>
    </row>
    <row r="40" spans="1:1">
      <c r="A40" t="s">
        <v>746</v>
      </c>
    </row>
    <row r="41" spans="1:1">
      <c r="A41" t="s">
        <v>747</v>
      </c>
    </row>
    <row r="42" spans="1:1">
      <c r="A42" t="s">
        <v>885</v>
      </c>
    </row>
    <row r="43" spans="1:1">
      <c r="A43" t="s">
        <v>748</v>
      </c>
    </row>
    <row r="44" spans="1:1">
      <c r="A44" t="s">
        <v>749</v>
      </c>
    </row>
    <row r="45" spans="1:1">
      <c r="A45" t="s">
        <v>750</v>
      </c>
    </row>
    <row r="46" spans="1:1">
      <c r="A46" t="s">
        <v>751</v>
      </c>
    </row>
    <row r="47" spans="1:1">
      <c r="A47" t="s">
        <v>752</v>
      </c>
    </row>
    <row r="48" spans="1:1">
      <c r="A48" t="s">
        <v>753</v>
      </c>
    </row>
    <row r="49" spans="1:1">
      <c r="A49" t="s">
        <v>884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2D5AF-88AC-43E5-9E44-B2AF07E305BD}">
  <dimension ref="A1:C29"/>
  <sheetViews>
    <sheetView zoomScale="90" zoomScaleNormal="90" workbookViewId="0">
      <pane ySplit="2" topLeftCell="A3" activePane="bottomLeft" state="frozen"/>
      <selection pane="bottomLeft"/>
    </sheetView>
  </sheetViews>
  <sheetFormatPr defaultRowHeight="15"/>
  <cols>
    <col min="1" max="1" width="28.7109375" bestFit="1" customWidth="1"/>
    <col min="2" max="2" width="14.42578125" customWidth="1"/>
    <col min="3" max="3" width="50" bestFit="1" customWidth="1"/>
  </cols>
  <sheetData>
    <row r="1" spans="1:3">
      <c r="A1" s="16" t="s">
        <v>760</v>
      </c>
    </row>
    <row r="2" spans="1:3">
      <c r="A2" s="1" t="s">
        <v>682</v>
      </c>
      <c r="B2" s="1" t="s">
        <v>661</v>
      </c>
      <c r="C2" s="1" t="s">
        <v>683</v>
      </c>
    </row>
    <row r="3" spans="1:3">
      <c r="A3" s="2" t="s">
        <v>684</v>
      </c>
      <c r="B3" s="2">
        <v>2026</v>
      </c>
      <c r="C3" s="2" t="s">
        <v>685</v>
      </c>
    </row>
    <row r="4" spans="1:3">
      <c r="A4" s="2" t="s">
        <v>686</v>
      </c>
      <c r="B4" s="152">
        <v>46382</v>
      </c>
      <c r="C4" s="2" t="s">
        <v>687</v>
      </c>
    </row>
    <row r="5" spans="1:3">
      <c r="A5" s="2" t="s">
        <v>688</v>
      </c>
      <c r="B5" s="11">
        <v>46387</v>
      </c>
      <c r="C5" s="2" t="s">
        <v>756</v>
      </c>
    </row>
    <row r="6" spans="1:3">
      <c r="A6" s="2" t="s">
        <v>689</v>
      </c>
      <c r="B6" s="2">
        <v>3</v>
      </c>
      <c r="C6" s="2" t="s">
        <v>690</v>
      </c>
    </row>
    <row r="7" spans="1:3" ht="45">
      <c r="A7" s="2" t="s">
        <v>691</v>
      </c>
      <c r="B7" s="148">
        <v>0.9</v>
      </c>
      <c r="C7" s="2" t="s">
        <v>757</v>
      </c>
    </row>
    <row r="8" spans="1:3" ht="30">
      <c r="A8" s="2" t="s">
        <v>692</v>
      </c>
      <c r="B8" s="148">
        <v>1</v>
      </c>
      <c r="C8" s="2" t="s">
        <v>758</v>
      </c>
    </row>
    <row r="9" spans="1:3" ht="75">
      <c r="A9" s="2" t="s">
        <v>638</v>
      </c>
      <c r="B9" s="71" t="s">
        <v>668</v>
      </c>
      <c r="C9" s="2" t="s">
        <v>759</v>
      </c>
    </row>
    <row r="10" spans="1:3">
      <c r="A10" s="18" t="s">
        <v>769</v>
      </c>
      <c r="B10" s="2"/>
      <c r="C10" s="2"/>
    </row>
    <row r="11" spans="1:3">
      <c r="A11" s="2" t="s">
        <v>693</v>
      </c>
      <c r="B11" s="5">
        <f>COUNTA(tblCities[City ID])</f>
        <v>4</v>
      </c>
      <c r="C11" s="2" t="s">
        <v>761</v>
      </c>
    </row>
    <row r="12" spans="1:3" ht="30">
      <c r="A12" s="2" t="s">
        <v>694</v>
      </c>
      <c r="B12" s="5">
        <f>SUMPRODUCT((tblSalesTeam[RSM ID]&lt;&gt;"")/COUNTIF(tblSalesTeam[RSM ID],tblSalesTeam[RSM ID]&amp;""))</f>
        <v>4</v>
      </c>
      <c r="C12" s="2" t="s">
        <v>762</v>
      </c>
    </row>
    <row r="13" spans="1:3">
      <c r="A13" s="2" t="s">
        <v>695</v>
      </c>
      <c r="B13" s="5">
        <f>COUNTA(tblSalesTeam[Salesperson ID])</f>
        <v>12</v>
      </c>
      <c r="C13" s="2" t="s">
        <v>763</v>
      </c>
    </row>
    <row r="14" spans="1:3">
      <c r="A14" s="2" t="s">
        <v>696</v>
      </c>
      <c r="B14" s="5">
        <f>COUNTA(tblDistributors[Distributor ID])</f>
        <v>12</v>
      </c>
      <c r="C14" s="2" t="s">
        <v>764</v>
      </c>
    </row>
    <row r="15" spans="1:3">
      <c r="A15" s="2" t="s">
        <v>697</v>
      </c>
      <c r="B15" s="5">
        <f>COUNTA(tblProducts[Product ID])</f>
        <v>56</v>
      </c>
      <c r="C15" s="2" t="s">
        <v>765</v>
      </c>
    </row>
    <row r="16" spans="1:3">
      <c r="A16" s="2" t="s">
        <v>698</v>
      </c>
      <c r="B16" s="5">
        <f>COUNTA(tblSalesTransactions[Transaction ID])</f>
        <v>300</v>
      </c>
      <c r="C16" s="2" t="s">
        <v>766</v>
      </c>
    </row>
    <row r="17" spans="1:3">
      <c r="A17" s="2" t="s">
        <v>699</v>
      </c>
      <c r="B17" s="5">
        <f>COUNTA(tblCollections[Collection ID])</f>
        <v>72</v>
      </c>
      <c r="C17" s="2" t="s">
        <v>767</v>
      </c>
    </row>
    <row r="18" spans="1:3" ht="30">
      <c r="A18" s="2" t="s">
        <v>700</v>
      </c>
      <c r="B18" s="5">
        <f>COUNTA(tblInventory[Distributor ID])</f>
        <v>192</v>
      </c>
      <c r="C18" s="2" t="s">
        <v>775</v>
      </c>
    </row>
    <row r="19" spans="1:3" ht="30">
      <c r="A19" s="2" t="s">
        <v>701</v>
      </c>
      <c r="B19" s="5">
        <f>COUNTA(tblSalesTargets[Salesperson ID])</f>
        <v>144</v>
      </c>
      <c r="C19" s="2" t="s">
        <v>768</v>
      </c>
    </row>
    <row r="20" spans="1:3">
      <c r="A20" s="18" t="s">
        <v>770</v>
      </c>
      <c r="B20" s="5"/>
      <c r="C20" s="2"/>
    </row>
    <row r="21" spans="1:3" ht="45">
      <c r="A21" s="2" t="s">
        <v>702</v>
      </c>
      <c r="B21" s="2" t="s">
        <v>703</v>
      </c>
      <c r="C21" s="2" t="s">
        <v>771</v>
      </c>
    </row>
    <row r="22" spans="1:3" ht="45">
      <c r="A22" s="2" t="s">
        <v>704</v>
      </c>
      <c r="B22" s="2" t="s">
        <v>705</v>
      </c>
      <c r="C22" s="2" t="s">
        <v>706</v>
      </c>
    </row>
    <row r="23" spans="1:3">
      <c r="A23" s="2" t="s">
        <v>707</v>
      </c>
      <c r="B23" s="2" t="s">
        <v>708</v>
      </c>
      <c r="C23" s="2" t="s">
        <v>709</v>
      </c>
    </row>
    <row r="24" spans="1:3" ht="30">
      <c r="A24" s="2" t="s">
        <v>710</v>
      </c>
      <c r="B24" s="2" t="s">
        <v>711</v>
      </c>
      <c r="C24" s="2" t="s">
        <v>712</v>
      </c>
    </row>
    <row r="25" spans="1:3" ht="45">
      <c r="A25" s="2" t="s">
        <v>713</v>
      </c>
      <c r="B25" s="2" t="s">
        <v>714</v>
      </c>
      <c r="C25" s="2" t="s">
        <v>772</v>
      </c>
    </row>
    <row r="26" spans="1:3">
      <c r="A26" s="18" t="s">
        <v>773</v>
      </c>
    </row>
    <row r="27" spans="1:3" ht="71.25" customHeight="1">
      <c r="A27" s="149" t="s">
        <v>774</v>
      </c>
      <c r="B27" s="149"/>
      <c r="C27" s="149"/>
    </row>
    <row r="28" spans="1:3">
      <c r="A28" s="150" t="s">
        <v>715</v>
      </c>
    </row>
    <row r="29" spans="1:3" ht="60.75" customHeight="1">
      <c r="A29" s="151" t="s">
        <v>755</v>
      </c>
      <c r="B29" s="151"/>
      <c r="C29" s="151"/>
    </row>
  </sheetData>
  <mergeCells count="2">
    <mergeCell ref="A27:C27"/>
    <mergeCell ref="A29:C2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FEA76-66E9-4444-9136-8A5F44BE7764}">
  <dimension ref="A1:D5"/>
  <sheetViews>
    <sheetView workbookViewId="0"/>
  </sheetViews>
  <sheetFormatPr defaultColWidth="10.7109375" defaultRowHeight="15"/>
  <sheetData>
    <row r="1" spans="1:4">
      <c r="A1" s="1" t="s">
        <v>0</v>
      </c>
      <c r="B1" s="1" t="s">
        <v>1</v>
      </c>
      <c r="C1" s="1" t="s">
        <v>2</v>
      </c>
      <c r="D1" s="1" t="s">
        <v>3</v>
      </c>
    </row>
    <row r="2" spans="1:4">
      <c r="A2" s="70" t="s">
        <v>4</v>
      </c>
      <c r="B2" s="71" t="s">
        <v>5</v>
      </c>
      <c r="C2" s="2" t="s">
        <v>6</v>
      </c>
      <c r="D2" s="70" t="s">
        <v>7</v>
      </c>
    </row>
    <row r="3" spans="1:4">
      <c r="A3" s="70" t="s">
        <v>8</v>
      </c>
      <c r="B3" s="71" t="s">
        <v>9</v>
      </c>
      <c r="C3" s="2" t="s">
        <v>10</v>
      </c>
      <c r="D3" s="70" t="s">
        <v>7</v>
      </c>
    </row>
    <row r="4" spans="1:4">
      <c r="A4" s="70" t="s">
        <v>11</v>
      </c>
      <c r="B4" s="71" t="s">
        <v>12</v>
      </c>
      <c r="C4" s="2" t="s">
        <v>13</v>
      </c>
      <c r="D4" s="70" t="s">
        <v>7</v>
      </c>
    </row>
    <row r="5" spans="1:4" ht="30">
      <c r="A5" s="70" t="s">
        <v>14</v>
      </c>
      <c r="B5" s="71" t="s">
        <v>15</v>
      </c>
      <c r="C5" s="2" t="s">
        <v>10</v>
      </c>
      <c r="D5" s="70" t="s">
        <v>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909C-7536-4107-B264-18D274E86F4D}">
  <dimension ref="A1:E13"/>
  <sheetViews>
    <sheetView workbookViewId="0"/>
  </sheetViews>
  <sheetFormatPr defaultRowHeight="15"/>
  <cols>
    <col min="1" max="1" width="11.85546875" bestFit="1" customWidth="1"/>
    <col min="2" max="2" width="15.28515625" bestFit="1" customWidth="1"/>
    <col min="3" max="3" width="18.7109375" bestFit="1" customWidth="1"/>
    <col min="4" max="4" width="22.28515625" bestFit="1" customWidth="1"/>
    <col min="5" max="5" width="11.28515625" bestFit="1" customWidth="1"/>
  </cols>
  <sheetData>
    <row r="1" spans="1:5">
      <c r="A1" s="3" t="s">
        <v>16</v>
      </c>
      <c r="B1" s="3" t="s">
        <v>17</v>
      </c>
      <c r="C1" s="3" t="s">
        <v>18</v>
      </c>
      <c r="D1" s="3" t="s">
        <v>19</v>
      </c>
      <c r="E1" s="3" t="s">
        <v>0</v>
      </c>
    </row>
    <row r="2" spans="1:5">
      <c r="A2" s="72" t="s">
        <v>20</v>
      </c>
      <c r="B2" s="4" t="s">
        <v>21</v>
      </c>
      <c r="C2" s="72" t="s">
        <v>22</v>
      </c>
      <c r="D2" s="4" t="s">
        <v>23</v>
      </c>
      <c r="E2" s="72" t="s">
        <v>4</v>
      </c>
    </row>
    <row r="3" spans="1:5">
      <c r="A3" s="72" t="s">
        <v>20</v>
      </c>
      <c r="B3" s="4" t="s">
        <v>21</v>
      </c>
      <c r="C3" s="72" t="s">
        <v>24</v>
      </c>
      <c r="D3" s="4" t="s">
        <v>25</v>
      </c>
      <c r="E3" s="72" t="s">
        <v>4</v>
      </c>
    </row>
    <row r="4" spans="1:5">
      <c r="A4" s="72" t="s">
        <v>20</v>
      </c>
      <c r="B4" s="4" t="s">
        <v>21</v>
      </c>
      <c r="C4" s="72" t="s">
        <v>26</v>
      </c>
      <c r="D4" s="4" t="s">
        <v>27</v>
      </c>
      <c r="E4" s="72" t="s">
        <v>4</v>
      </c>
    </row>
    <row r="5" spans="1:5">
      <c r="A5" s="72" t="s">
        <v>28</v>
      </c>
      <c r="B5" s="4" t="s">
        <v>29</v>
      </c>
      <c r="C5" s="72" t="s">
        <v>30</v>
      </c>
      <c r="D5" s="4" t="s">
        <v>31</v>
      </c>
      <c r="E5" s="72" t="s">
        <v>8</v>
      </c>
    </row>
    <row r="6" spans="1:5">
      <c r="A6" s="72" t="s">
        <v>28</v>
      </c>
      <c r="B6" s="4" t="s">
        <v>29</v>
      </c>
      <c r="C6" s="72" t="s">
        <v>32</v>
      </c>
      <c r="D6" s="4" t="s">
        <v>33</v>
      </c>
      <c r="E6" s="72" t="s">
        <v>8</v>
      </c>
    </row>
    <row r="7" spans="1:5">
      <c r="A7" s="72" t="s">
        <v>28</v>
      </c>
      <c r="B7" s="4" t="s">
        <v>29</v>
      </c>
      <c r="C7" s="72" t="s">
        <v>34</v>
      </c>
      <c r="D7" s="4" t="s">
        <v>35</v>
      </c>
      <c r="E7" s="72" t="s">
        <v>8</v>
      </c>
    </row>
    <row r="8" spans="1:5">
      <c r="A8" s="72" t="s">
        <v>36</v>
      </c>
      <c r="B8" s="4" t="s">
        <v>37</v>
      </c>
      <c r="C8" s="72" t="s">
        <v>38</v>
      </c>
      <c r="D8" s="4" t="s">
        <v>39</v>
      </c>
      <c r="E8" s="72" t="s">
        <v>11</v>
      </c>
    </row>
    <row r="9" spans="1:5">
      <c r="A9" s="72" t="s">
        <v>36</v>
      </c>
      <c r="B9" s="4" t="s">
        <v>37</v>
      </c>
      <c r="C9" s="72" t="s">
        <v>40</v>
      </c>
      <c r="D9" s="4" t="s">
        <v>41</v>
      </c>
      <c r="E9" s="72" t="s">
        <v>11</v>
      </c>
    </row>
    <row r="10" spans="1:5">
      <c r="A10" s="72" t="s">
        <v>36</v>
      </c>
      <c r="B10" s="4" t="s">
        <v>37</v>
      </c>
      <c r="C10" s="72" t="s">
        <v>42</v>
      </c>
      <c r="D10" s="4" t="s">
        <v>43</v>
      </c>
      <c r="E10" s="72" t="s">
        <v>11</v>
      </c>
    </row>
    <row r="11" spans="1:5">
      <c r="A11" s="72" t="s">
        <v>44</v>
      </c>
      <c r="B11" s="4" t="s">
        <v>45</v>
      </c>
      <c r="C11" s="72" t="s">
        <v>46</v>
      </c>
      <c r="D11" s="4" t="s">
        <v>47</v>
      </c>
      <c r="E11" s="72" t="s">
        <v>14</v>
      </c>
    </row>
    <row r="12" spans="1:5">
      <c r="A12" s="72" t="s">
        <v>44</v>
      </c>
      <c r="B12" s="4" t="s">
        <v>45</v>
      </c>
      <c r="C12" s="72" t="s">
        <v>48</v>
      </c>
      <c r="D12" s="4" t="s">
        <v>49</v>
      </c>
      <c r="E12" s="72" t="s">
        <v>14</v>
      </c>
    </row>
    <row r="13" spans="1:5">
      <c r="A13" s="72" t="s">
        <v>44</v>
      </c>
      <c r="B13" s="4" t="s">
        <v>45</v>
      </c>
      <c r="C13" s="72" t="s">
        <v>50</v>
      </c>
      <c r="D13" s="4" t="s">
        <v>51</v>
      </c>
      <c r="E13" s="72" t="s">
        <v>14</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EF19A-5DE6-4860-A6B4-341EC44D145D}">
  <dimension ref="A1:F13"/>
  <sheetViews>
    <sheetView workbookViewId="0">
      <selection sqref="A1:F13"/>
    </sheetView>
  </sheetViews>
  <sheetFormatPr defaultRowHeight="15"/>
  <cols>
    <col min="1" max="1" width="17.42578125" bestFit="1" customWidth="1"/>
    <col min="2" max="2" width="25.85546875" bestFit="1" customWidth="1"/>
    <col min="3" max="3" width="11.28515625" bestFit="1" customWidth="1"/>
    <col min="4" max="4" width="11.85546875" bestFit="1" customWidth="1"/>
    <col min="5" max="5" width="18.7109375" bestFit="1" customWidth="1"/>
    <col min="6" max="6" width="11" bestFit="1" customWidth="1"/>
  </cols>
  <sheetData>
    <row r="1" spans="1:6">
      <c r="A1" s="3" t="s">
        <v>52</v>
      </c>
      <c r="B1" s="3" t="s">
        <v>53</v>
      </c>
      <c r="C1" s="3" t="s">
        <v>0</v>
      </c>
      <c r="D1" s="3" t="s">
        <v>16</v>
      </c>
      <c r="E1" s="3" t="s">
        <v>18</v>
      </c>
      <c r="F1" s="3" t="s">
        <v>3</v>
      </c>
    </row>
    <row r="2" spans="1:6">
      <c r="A2" s="72" t="s">
        <v>54</v>
      </c>
      <c r="B2" s="4" t="s">
        <v>55</v>
      </c>
      <c r="C2" s="72" t="s">
        <v>4</v>
      </c>
      <c r="D2" s="72" t="s">
        <v>20</v>
      </c>
      <c r="E2" s="72" t="s">
        <v>22</v>
      </c>
      <c r="F2" s="72" t="s">
        <v>7</v>
      </c>
    </row>
    <row r="3" spans="1:6">
      <c r="A3" s="72" t="s">
        <v>56</v>
      </c>
      <c r="B3" s="4" t="s">
        <v>57</v>
      </c>
      <c r="C3" s="72" t="s">
        <v>4</v>
      </c>
      <c r="D3" s="72" t="s">
        <v>20</v>
      </c>
      <c r="E3" s="72" t="s">
        <v>24</v>
      </c>
      <c r="F3" s="72" t="s">
        <v>7</v>
      </c>
    </row>
    <row r="4" spans="1:6">
      <c r="A4" s="72" t="s">
        <v>58</v>
      </c>
      <c r="B4" s="4" t="s">
        <v>59</v>
      </c>
      <c r="C4" s="72" t="s">
        <v>4</v>
      </c>
      <c r="D4" s="72" t="s">
        <v>20</v>
      </c>
      <c r="E4" s="72" t="s">
        <v>26</v>
      </c>
      <c r="F4" s="72" t="s">
        <v>7</v>
      </c>
    </row>
    <row r="5" spans="1:6">
      <c r="A5" s="72" t="s">
        <v>60</v>
      </c>
      <c r="B5" s="4" t="s">
        <v>61</v>
      </c>
      <c r="C5" s="72" t="s">
        <v>8</v>
      </c>
      <c r="D5" s="72" t="s">
        <v>28</v>
      </c>
      <c r="E5" s="72" t="s">
        <v>30</v>
      </c>
      <c r="F5" s="72" t="s">
        <v>7</v>
      </c>
    </row>
    <row r="6" spans="1:6">
      <c r="A6" s="72" t="s">
        <v>62</v>
      </c>
      <c r="B6" s="4" t="s">
        <v>63</v>
      </c>
      <c r="C6" s="72" t="s">
        <v>8</v>
      </c>
      <c r="D6" s="72" t="s">
        <v>28</v>
      </c>
      <c r="E6" s="72" t="s">
        <v>32</v>
      </c>
      <c r="F6" s="72" t="s">
        <v>7</v>
      </c>
    </row>
    <row r="7" spans="1:6">
      <c r="A7" s="72" t="s">
        <v>64</v>
      </c>
      <c r="B7" s="4" t="s">
        <v>65</v>
      </c>
      <c r="C7" s="72" t="s">
        <v>8</v>
      </c>
      <c r="D7" s="72" t="s">
        <v>28</v>
      </c>
      <c r="E7" s="72" t="s">
        <v>34</v>
      </c>
      <c r="F7" s="72" t="s">
        <v>7</v>
      </c>
    </row>
    <row r="8" spans="1:6">
      <c r="A8" s="72" t="s">
        <v>66</v>
      </c>
      <c r="B8" s="4" t="s">
        <v>67</v>
      </c>
      <c r="C8" s="72" t="s">
        <v>11</v>
      </c>
      <c r="D8" s="72" t="s">
        <v>36</v>
      </c>
      <c r="E8" s="72" t="s">
        <v>38</v>
      </c>
      <c r="F8" s="72" t="s">
        <v>7</v>
      </c>
    </row>
    <row r="9" spans="1:6">
      <c r="A9" s="72" t="s">
        <v>68</v>
      </c>
      <c r="B9" s="4" t="s">
        <v>69</v>
      </c>
      <c r="C9" s="72" t="s">
        <v>11</v>
      </c>
      <c r="D9" s="72" t="s">
        <v>36</v>
      </c>
      <c r="E9" s="72" t="s">
        <v>40</v>
      </c>
      <c r="F9" s="72" t="s">
        <v>7</v>
      </c>
    </row>
    <row r="10" spans="1:6">
      <c r="A10" s="72" t="s">
        <v>70</v>
      </c>
      <c r="B10" s="4" t="s">
        <v>71</v>
      </c>
      <c r="C10" s="72" t="s">
        <v>11</v>
      </c>
      <c r="D10" s="72" t="s">
        <v>36</v>
      </c>
      <c r="E10" s="72" t="s">
        <v>42</v>
      </c>
      <c r="F10" s="72" t="s">
        <v>7</v>
      </c>
    </row>
    <row r="11" spans="1:6">
      <c r="A11" s="72" t="s">
        <v>72</v>
      </c>
      <c r="B11" s="4" t="s">
        <v>73</v>
      </c>
      <c r="C11" s="72" t="s">
        <v>14</v>
      </c>
      <c r="D11" s="72" t="s">
        <v>44</v>
      </c>
      <c r="E11" s="72" t="s">
        <v>46</v>
      </c>
      <c r="F11" s="72" t="s">
        <v>7</v>
      </c>
    </row>
    <row r="12" spans="1:6">
      <c r="A12" s="72" t="s">
        <v>74</v>
      </c>
      <c r="B12" s="4" t="s">
        <v>75</v>
      </c>
      <c r="C12" s="72" t="s">
        <v>14</v>
      </c>
      <c r="D12" s="72" t="s">
        <v>44</v>
      </c>
      <c r="E12" s="72" t="s">
        <v>48</v>
      </c>
      <c r="F12" s="72" t="s">
        <v>7</v>
      </c>
    </row>
    <row r="13" spans="1:6">
      <c r="A13" s="72" t="s">
        <v>76</v>
      </c>
      <c r="B13" s="4" t="s">
        <v>77</v>
      </c>
      <c r="C13" s="72" t="s">
        <v>14</v>
      </c>
      <c r="D13" s="72" t="s">
        <v>44</v>
      </c>
      <c r="E13" s="72" t="s">
        <v>50</v>
      </c>
      <c r="F13" s="72" t="s">
        <v>7</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B2B85-4022-40CB-AE5C-C3E311B0C9DB}">
  <dimension ref="A1:G57"/>
  <sheetViews>
    <sheetView workbookViewId="0">
      <selection sqref="A1:G57"/>
    </sheetView>
  </sheetViews>
  <sheetFormatPr defaultRowHeight="15"/>
  <cols>
    <col min="1" max="1" width="14.7109375" bestFit="1" customWidth="1"/>
    <col min="2" max="2" width="15.7109375" bestFit="1" customWidth="1"/>
    <col min="3" max="3" width="24.28515625" bestFit="1" customWidth="1"/>
    <col min="4" max="4" width="17.7109375" bestFit="1" customWidth="1"/>
    <col min="5" max="5" width="17.42578125" bestFit="1" customWidth="1"/>
    <col min="6" max="6" width="13.5703125" bestFit="1" customWidth="1"/>
    <col min="7" max="7" width="9.42578125" bestFit="1" customWidth="1"/>
  </cols>
  <sheetData>
    <row r="1" spans="1:7">
      <c r="A1" s="3" t="s">
        <v>78</v>
      </c>
      <c r="B1" s="3" t="s">
        <v>79</v>
      </c>
      <c r="C1" s="3" t="s">
        <v>80</v>
      </c>
      <c r="D1" s="3" t="s">
        <v>81</v>
      </c>
      <c r="E1" s="3" t="s">
        <v>82</v>
      </c>
      <c r="F1" s="3" t="s">
        <v>83</v>
      </c>
      <c r="G1" s="3" t="s">
        <v>84</v>
      </c>
    </row>
    <row r="2" spans="1:7">
      <c r="A2" s="72" t="s">
        <v>85</v>
      </c>
      <c r="B2" s="4" t="s">
        <v>86</v>
      </c>
      <c r="C2" s="4" t="s">
        <v>87</v>
      </c>
      <c r="D2" s="4" t="s">
        <v>88</v>
      </c>
      <c r="E2" s="4" t="s">
        <v>89</v>
      </c>
      <c r="F2" s="4" t="s">
        <v>90</v>
      </c>
      <c r="G2" s="4" t="s">
        <v>91</v>
      </c>
    </row>
    <row r="3" spans="1:7">
      <c r="A3" s="72" t="s">
        <v>92</v>
      </c>
      <c r="B3" s="4" t="s">
        <v>86</v>
      </c>
      <c r="C3" s="4" t="s">
        <v>87</v>
      </c>
      <c r="D3" s="4" t="s">
        <v>88</v>
      </c>
      <c r="E3" s="4" t="s">
        <v>89</v>
      </c>
      <c r="F3" s="4" t="s">
        <v>93</v>
      </c>
      <c r="G3" s="4" t="s">
        <v>91</v>
      </c>
    </row>
    <row r="4" spans="1:7">
      <c r="A4" s="72" t="s">
        <v>94</v>
      </c>
      <c r="B4" s="4" t="s">
        <v>86</v>
      </c>
      <c r="C4" s="4" t="s">
        <v>87</v>
      </c>
      <c r="D4" s="4" t="s">
        <v>88</v>
      </c>
      <c r="E4" s="4" t="s">
        <v>89</v>
      </c>
      <c r="F4" s="4" t="s">
        <v>95</v>
      </c>
      <c r="G4" s="4" t="s">
        <v>91</v>
      </c>
    </row>
    <row r="5" spans="1:7">
      <c r="A5" s="72" t="s">
        <v>96</v>
      </c>
      <c r="B5" s="4" t="s">
        <v>86</v>
      </c>
      <c r="C5" s="4" t="s">
        <v>97</v>
      </c>
      <c r="D5" s="4" t="s">
        <v>88</v>
      </c>
      <c r="E5" s="4" t="s">
        <v>89</v>
      </c>
      <c r="F5" s="4" t="s">
        <v>90</v>
      </c>
      <c r="G5" s="4" t="s">
        <v>91</v>
      </c>
    </row>
    <row r="6" spans="1:7">
      <c r="A6" s="72" t="s">
        <v>98</v>
      </c>
      <c r="B6" s="4" t="s">
        <v>86</v>
      </c>
      <c r="C6" s="4" t="s">
        <v>97</v>
      </c>
      <c r="D6" s="4" t="s">
        <v>88</v>
      </c>
      <c r="E6" s="4" t="s">
        <v>89</v>
      </c>
      <c r="F6" s="4" t="s">
        <v>93</v>
      </c>
      <c r="G6" s="4" t="s">
        <v>91</v>
      </c>
    </row>
    <row r="7" spans="1:7">
      <c r="A7" s="72" t="s">
        <v>99</v>
      </c>
      <c r="B7" s="4" t="s">
        <v>86</v>
      </c>
      <c r="C7" s="4" t="s">
        <v>100</v>
      </c>
      <c r="D7" s="4" t="s">
        <v>88</v>
      </c>
      <c r="E7" s="4" t="s">
        <v>89</v>
      </c>
      <c r="F7" s="4" t="s">
        <v>90</v>
      </c>
      <c r="G7" s="4" t="s">
        <v>91</v>
      </c>
    </row>
    <row r="8" spans="1:7">
      <c r="A8" s="72" t="s">
        <v>101</v>
      </c>
      <c r="B8" s="4" t="s">
        <v>86</v>
      </c>
      <c r="C8" s="4" t="s">
        <v>100</v>
      </c>
      <c r="D8" s="4" t="s">
        <v>88</v>
      </c>
      <c r="E8" s="4" t="s">
        <v>89</v>
      </c>
      <c r="F8" s="4" t="s">
        <v>93</v>
      </c>
      <c r="G8" s="4" t="s">
        <v>91</v>
      </c>
    </row>
    <row r="9" spans="1:7">
      <c r="A9" s="72" t="s">
        <v>102</v>
      </c>
      <c r="B9" s="4" t="s">
        <v>86</v>
      </c>
      <c r="C9" s="4" t="s">
        <v>103</v>
      </c>
      <c r="D9" s="4" t="s">
        <v>88</v>
      </c>
      <c r="E9" s="4" t="s">
        <v>104</v>
      </c>
      <c r="F9" s="4" t="s">
        <v>90</v>
      </c>
      <c r="G9" s="4" t="s">
        <v>91</v>
      </c>
    </row>
    <row r="10" spans="1:7">
      <c r="A10" s="72" t="s">
        <v>105</v>
      </c>
      <c r="B10" s="4" t="s">
        <v>86</v>
      </c>
      <c r="C10" s="4" t="s">
        <v>103</v>
      </c>
      <c r="D10" s="4" t="s">
        <v>88</v>
      </c>
      <c r="E10" s="4" t="s">
        <v>104</v>
      </c>
      <c r="F10" s="4" t="s">
        <v>93</v>
      </c>
      <c r="G10" s="4" t="s">
        <v>91</v>
      </c>
    </row>
    <row r="11" spans="1:7">
      <c r="A11" s="72" t="s">
        <v>106</v>
      </c>
      <c r="B11" s="4" t="s">
        <v>86</v>
      </c>
      <c r="C11" s="4" t="s">
        <v>107</v>
      </c>
      <c r="D11" s="4" t="s">
        <v>88</v>
      </c>
      <c r="E11" s="4" t="s">
        <v>108</v>
      </c>
      <c r="F11" s="4" t="s">
        <v>90</v>
      </c>
      <c r="G11" s="4" t="s">
        <v>91</v>
      </c>
    </row>
    <row r="12" spans="1:7">
      <c r="A12" s="72" t="s">
        <v>109</v>
      </c>
      <c r="B12" s="4" t="s">
        <v>86</v>
      </c>
      <c r="C12" s="4" t="s">
        <v>107</v>
      </c>
      <c r="D12" s="4" t="s">
        <v>88</v>
      </c>
      <c r="E12" s="4" t="s">
        <v>108</v>
      </c>
      <c r="F12" s="4" t="s">
        <v>93</v>
      </c>
      <c r="G12" s="4" t="s">
        <v>91</v>
      </c>
    </row>
    <row r="13" spans="1:7">
      <c r="A13" s="72" t="s">
        <v>110</v>
      </c>
      <c r="B13" s="4" t="s">
        <v>86</v>
      </c>
      <c r="C13" s="4" t="s">
        <v>111</v>
      </c>
      <c r="D13" s="4" t="s">
        <v>88</v>
      </c>
      <c r="E13" s="4" t="s">
        <v>108</v>
      </c>
      <c r="F13" s="4" t="s">
        <v>90</v>
      </c>
      <c r="G13" s="4" t="s">
        <v>91</v>
      </c>
    </row>
    <row r="14" spans="1:7">
      <c r="A14" s="72" t="s">
        <v>112</v>
      </c>
      <c r="B14" s="4" t="s">
        <v>86</v>
      </c>
      <c r="C14" s="4" t="s">
        <v>111</v>
      </c>
      <c r="D14" s="4" t="s">
        <v>88</v>
      </c>
      <c r="E14" s="4" t="s">
        <v>108</v>
      </c>
      <c r="F14" s="4" t="s">
        <v>93</v>
      </c>
      <c r="G14" s="4" t="s">
        <v>91</v>
      </c>
    </row>
    <row r="15" spans="1:7">
      <c r="A15" s="72" t="s">
        <v>113</v>
      </c>
      <c r="B15" s="4" t="s">
        <v>86</v>
      </c>
      <c r="C15" s="4" t="s">
        <v>114</v>
      </c>
      <c r="D15" s="4" t="s">
        <v>88</v>
      </c>
      <c r="E15" s="4" t="s">
        <v>115</v>
      </c>
      <c r="F15" s="4" t="s">
        <v>116</v>
      </c>
      <c r="G15" s="4" t="s">
        <v>91</v>
      </c>
    </row>
    <row r="16" spans="1:7">
      <c r="A16" s="72" t="s">
        <v>117</v>
      </c>
      <c r="B16" s="4" t="s">
        <v>86</v>
      </c>
      <c r="C16" s="4" t="s">
        <v>114</v>
      </c>
      <c r="D16" s="4" t="s">
        <v>88</v>
      </c>
      <c r="E16" s="4" t="s">
        <v>115</v>
      </c>
      <c r="F16" s="4" t="s">
        <v>118</v>
      </c>
      <c r="G16" s="4" t="s">
        <v>91</v>
      </c>
    </row>
    <row r="17" spans="1:7">
      <c r="A17" s="72" t="s">
        <v>119</v>
      </c>
      <c r="B17" s="4" t="s">
        <v>86</v>
      </c>
      <c r="C17" s="4" t="s">
        <v>120</v>
      </c>
      <c r="D17" s="4" t="s">
        <v>88</v>
      </c>
      <c r="E17" s="4" t="s">
        <v>115</v>
      </c>
      <c r="F17" s="4" t="s">
        <v>116</v>
      </c>
      <c r="G17" s="4" t="s">
        <v>91</v>
      </c>
    </row>
    <row r="18" spans="1:7">
      <c r="A18" s="72" t="s">
        <v>121</v>
      </c>
      <c r="B18" s="4" t="s">
        <v>86</v>
      </c>
      <c r="C18" s="4" t="s">
        <v>120</v>
      </c>
      <c r="D18" s="4" t="s">
        <v>88</v>
      </c>
      <c r="E18" s="4" t="s">
        <v>115</v>
      </c>
      <c r="F18" s="4" t="s">
        <v>118</v>
      </c>
      <c r="G18" s="4" t="s">
        <v>91</v>
      </c>
    </row>
    <row r="19" spans="1:7">
      <c r="A19" s="72" t="s">
        <v>122</v>
      </c>
      <c r="B19" s="4" t="s">
        <v>86</v>
      </c>
      <c r="C19" s="4" t="s">
        <v>123</v>
      </c>
      <c r="D19" s="4" t="s">
        <v>88</v>
      </c>
      <c r="E19" s="4" t="s">
        <v>115</v>
      </c>
      <c r="F19" s="4" t="s">
        <v>116</v>
      </c>
      <c r="G19" s="4" t="s">
        <v>91</v>
      </c>
    </row>
    <row r="20" spans="1:7">
      <c r="A20" s="72" t="s">
        <v>124</v>
      </c>
      <c r="B20" s="4" t="s">
        <v>86</v>
      </c>
      <c r="C20" s="4" t="s">
        <v>123</v>
      </c>
      <c r="D20" s="4" t="s">
        <v>88</v>
      </c>
      <c r="E20" s="4" t="s">
        <v>115</v>
      </c>
      <c r="F20" s="4" t="s">
        <v>118</v>
      </c>
      <c r="G20" s="4" t="s">
        <v>91</v>
      </c>
    </row>
    <row r="21" spans="1:7">
      <c r="A21" s="72" t="s">
        <v>125</v>
      </c>
      <c r="B21" s="4" t="s">
        <v>86</v>
      </c>
      <c r="C21" s="4" t="s">
        <v>126</v>
      </c>
      <c r="D21" s="4" t="s">
        <v>88</v>
      </c>
      <c r="E21" s="4" t="s">
        <v>127</v>
      </c>
      <c r="F21" s="4" t="s">
        <v>128</v>
      </c>
      <c r="G21" s="4" t="s">
        <v>91</v>
      </c>
    </row>
    <row r="22" spans="1:7">
      <c r="A22" s="72" t="s">
        <v>129</v>
      </c>
      <c r="B22" s="4" t="s">
        <v>86</v>
      </c>
      <c r="C22" s="4" t="s">
        <v>126</v>
      </c>
      <c r="D22" s="4" t="s">
        <v>88</v>
      </c>
      <c r="E22" s="4" t="s">
        <v>127</v>
      </c>
      <c r="F22" s="4" t="s">
        <v>130</v>
      </c>
      <c r="G22" s="4" t="s">
        <v>91</v>
      </c>
    </row>
    <row r="23" spans="1:7">
      <c r="A23" s="72" t="s">
        <v>131</v>
      </c>
      <c r="B23" s="4" t="s">
        <v>86</v>
      </c>
      <c r="C23" s="4" t="s">
        <v>132</v>
      </c>
      <c r="D23" s="4" t="s">
        <v>88</v>
      </c>
      <c r="E23" s="4" t="s">
        <v>127</v>
      </c>
      <c r="F23" s="4" t="s">
        <v>128</v>
      </c>
      <c r="G23" s="4" t="s">
        <v>91</v>
      </c>
    </row>
    <row r="24" spans="1:7">
      <c r="A24" s="72" t="s">
        <v>133</v>
      </c>
      <c r="B24" s="4" t="s">
        <v>86</v>
      </c>
      <c r="C24" s="4" t="s">
        <v>132</v>
      </c>
      <c r="D24" s="4" t="s">
        <v>88</v>
      </c>
      <c r="E24" s="4" t="s">
        <v>127</v>
      </c>
      <c r="F24" s="4" t="s">
        <v>130</v>
      </c>
      <c r="G24" s="4" t="s">
        <v>91</v>
      </c>
    </row>
    <row r="25" spans="1:7">
      <c r="A25" s="72" t="s">
        <v>134</v>
      </c>
      <c r="B25" s="4" t="s">
        <v>86</v>
      </c>
      <c r="C25" s="4" t="s">
        <v>135</v>
      </c>
      <c r="D25" s="4" t="s">
        <v>88</v>
      </c>
      <c r="E25" s="4" t="s">
        <v>136</v>
      </c>
      <c r="F25" s="4" t="s">
        <v>90</v>
      </c>
      <c r="G25" s="4" t="s">
        <v>91</v>
      </c>
    </row>
    <row r="26" spans="1:7">
      <c r="A26" s="72" t="s">
        <v>137</v>
      </c>
      <c r="B26" s="4" t="s">
        <v>86</v>
      </c>
      <c r="C26" s="4" t="s">
        <v>135</v>
      </c>
      <c r="D26" s="4" t="s">
        <v>88</v>
      </c>
      <c r="E26" s="4" t="s">
        <v>136</v>
      </c>
      <c r="F26" s="4" t="s">
        <v>93</v>
      </c>
      <c r="G26" s="4" t="s">
        <v>91</v>
      </c>
    </row>
    <row r="27" spans="1:7">
      <c r="A27" s="72" t="s">
        <v>138</v>
      </c>
      <c r="B27" s="4" t="s">
        <v>86</v>
      </c>
      <c r="C27" s="4" t="s">
        <v>139</v>
      </c>
      <c r="D27" s="4" t="s">
        <v>88</v>
      </c>
      <c r="E27" s="4" t="s">
        <v>136</v>
      </c>
      <c r="F27" s="4" t="s">
        <v>90</v>
      </c>
      <c r="G27" s="4" t="s">
        <v>91</v>
      </c>
    </row>
    <row r="28" spans="1:7">
      <c r="A28" s="72" t="s">
        <v>140</v>
      </c>
      <c r="B28" s="4" t="s">
        <v>86</v>
      </c>
      <c r="C28" s="4" t="s">
        <v>139</v>
      </c>
      <c r="D28" s="4" t="s">
        <v>88</v>
      </c>
      <c r="E28" s="4" t="s">
        <v>136</v>
      </c>
      <c r="F28" s="4" t="s">
        <v>93</v>
      </c>
      <c r="G28" s="4" t="s">
        <v>91</v>
      </c>
    </row>
    <row r="29" spans="1:7">
      <c r="A29" s="72" t="s">
        <v>141</v>
      </c>
      <c r="B29" s="4" t="s">
        <v>86</v>
      </c>
      <c r="C29" s="4" t="s">
        <v>142</v>
      </c>
      <c r="D29" s="4" t="s">
        <v>88</v>
      </c>
      <c r="E29" s="4" t="s">
        <v>136</v>
      </c>
      <c r="F29" s="4" t="s">
        <v>90</v>
      </c>
      <c r="G29" s="4" t="s">
        <v>91</v>
      </c>
    </row>
    <row r="30" spans="1:7">
      <c r="A30" s="72" t="s">
        <v>143</v>
      </c>
      <c r="B30" s="4" t="s">
        <v>86</v>
      </c>
      <c r="C30" s="4" t="s">
        <v>142</v>
      </c>
      <c r="D30" s="4" t="s">
        <v>88</v>
      </c>
      <c r="E30" s="4" t="s">
        <v>136</v>
      </c>
      <c r="F30" s="4" t="s">
        <v>93</v>
      </c>
      <c r="G30" s="4" t="s">
        <v>91</v>
      </c>
    </row>
    <row r="31" spans="1:7">
      <c r="A31" s="72" t="s">
        <v>144</v>
      </c>
      <c r="B31" s="4" t="s">
        <v>86</v>
      </c>
      <c r="C31" s="4" t="s">
        <v>145</v>
      </c>
      <c r="D31" s="4" t="s">
        <v>88</v>
      </c>
      <c r="E31" s="4" t="s">
        <v>146</v>
      </c>
      <c r="F31" s="4" t="s">
        <v>116</v>
      </c>
      <c r="G31" s="4" t="s">
        <v>91</v>
      </c>
    </row>
    <row r="32" spans="1:7">
      <c r="A32" s="72" t="s">
        <v>147</v>
      </c>
      <c r="B32" s="4" t="s">
        <v>86</v>
      </c>
      <c r="C32" s="4" t="s">
        <v>145</v>
      </c>
      <c r="D32" s="4" t="s">
        <v>88</v>
      </c>
      <c r="E32" s="4" t="s">
        <v>146</v>
      </c>
      <c r="F32" s="4" t="s">
        <v>148</v>
      </c>
      <c r="G32" s="4" t="s">
        <v>91</v>
      </c>
    </row>
    <row r="33" spans="1:7">
      <c r="A33" s="72" t="s">
        <v>149</v>
      </c>
      <c r="B33" s="4" t="s">
        <v>150</v>
      </c>
      <c r="C33" s="4" t="s">
        <v>151</v>
      </c>
      <c r="D33" s="4" t="s">
        <v>152</v>
      </c>
      <c r="E33" s="4" t="s">
        <v>153</v>
      </c>
      <c r="F33" s="4" t="s">
        <v>93</v>
      </c>
      <c r="G33" s="4" t="s">
        <v>91</v>
      </c>
    </row>
    <row r="34" spans="1:7">
      <c r="A34" s="72" t="s">
        <v>154</v>
      </c>
      <c r="B34" s="4" t="s">
        <v>150</v>
      </c>
      <c r="C34" s="4" t="s">
        <v>151</v>
      </c>
      <c r="D34" s="4" t="s">
        <v>152</v>
      </c>
      <c r="E34" s="4" t="s">
        <v>153</v>
      </c>
      <c r="F34" s="4" t="s">
        <v>118</v>
      </c>
      <c r="G34" s="4" t="s">
        <v>91</v>
      </c>
    </row>
    <row r="35" spans="1:7">
      <c r="A35" s="72" t="s">
        <v>155</v>
      </c>
      <c r="B35" s="4" t="s">
        <v>150</v>
      </c>
      <c r="C35" s="4" t="s">
        <v>151</v>
      </c>
      <c r="D35" s="4" t="s">
        <v>152</v>
      </c>
      <c r="E35" s="4" t="s">
        <v>153</v>
      </c>
      <c r="F35" s="4" t="s">
        <v>95</v>
      </c>
      <c r="G35" s="4" t="s">
        <v>91</v>
      </c>
    </row>
    <row r="36" spans="1:7">
      <c r="A36" s="72" t="s">
        <v>156</v>
      </c>
      <c r="B36" s="4" t="s">
        <v>150</v>
      </c>
      <c r="C36" s="4" t="s">
        <v>157</v>
      </c>
      <c r="D36" s="4" t="s">
        <v>152</v>
      </c>
      <c r="E36" s="4" t="s">
        <v>153</v>
      </c>
      <c r="F36" s="4" t="s">
        <v>93</v>
      </c>
      <c r="G36" s="4" t="s">
        <v>91</v>
      </c>
    </row>
    <row r="37" spans="1:7">
      <c r="A37" s="72" t="s">
        <v>158</v>
      </c>
      <c r="B37" s="4" t="s">
        <v>150</v>
      </c>
      <c r="C37" s="4" t="s">
        <v>157</v>
      </c>
      <c r="D37" s="4" t="s">
        <v>152</v>
      </c>
      <c r="E37" s="4" t="s">
        <v>153</v>
      </c>
      <c r="F37" s="4" t="s">
        <v>118</v>
      </c>
      <c r="G37" s="4" t="s">
        <v>91</v>
      </c>
    </row>
    <row r="38" spans="1:7">
      <c r="A38" s="72" t="s">
        <v>159</v>
      </c>
      <c r="B38" s="4" t="s">
        <v>150</v>
      </c>
      <c r="C38" s="4" t="s">
        <v>157</v>
      </c>
      <c r="D38" s="4" t="s">
        <v>152</v>
      </c>
      <c r="E38" s="4" t="s">
        <v>153</v>
      </c>
      <c r="F38" s="4" t="s">
        <v>95</v>
      </c>
      <c r="G38" s="4" t="s">
        <v>91</v>
      </c>
    </row>
    <row r="39" spans="1:7">
      <c r="A39" s="72" t="s">
        <v>160</v>
      </c>
      <c r="B39" s="4" t="s">
        <v>150</v>
      </c>
      <c r="C39" s="4" t="s">
        <v>161</v>
      </c>
      <c r="D39" s="4" t="s">
        <v>152</v>
      </c>
      <c r="E39" s="4" t="s">
        <v>162</v>
      </c>
      <c r="F39" s="4" t="s">
        <v>93</v>
      </c>
      <c r="G39" s="4" t="s">
        <v>91</v>
      </c>
    </row>
    <row r="40" spans="1:7">
      <c r="A40" s="72" t="s">
        <v>163</v>
      </c>
      <c r="B40" s="4" t="s">
        <v>150</v>
      </c>
      <c r="C40" s="4" t="s">
        <v>161</v>
      </c>
      <c r="D40" s="4" t="s">
        <v>152</v>
      </c>
      <c r="E40" s="4" t="s">
        <v>162</v>
      </c>
      <c r="F40" s="4" t="s">
        <v>118</v>
      </c>
      <c r="G40" s="4" t="s">
        <v>91</v>
      </c>
    </row>
    <row r="41" spans="1:7">
      <c r="A41" s="72" t="s">
        <v>164</v>
      </c>
      <c r="B41" s="4" t="s">
        <v>150</v>
      </c>
      <c r="C41" s="4" t="s">
        <v>161</v>
      </c>
      <c r="D41" s="4" t="s">
        <v>152</v>
      </c>
      <c r="E41" s="4" t="s">
        <v>162</v>
      </c>
      <c r="F41" s="4" t="s">
        <v>95</v>
      </c>
      <c r="G41" s="4" t="s">
        <v>91</v>
      </c>
    </row>
    <row r="42" spans="1:7">
      <c r="A42" s="72" t="s">
        <v>165</v>
      </c>
      <c r="B42" s="4" t="s">
        <v>150</v>
      </c>
      <c r="C42" s="4" t="s">
        <v>166</v>
      </c>
      <c r="D42" s="4" t="s">
        <v>152</v>
      </c>
      <c r="E42" s="4" t="s">
        <v>167</v>
      </c>
      <c r="F42" s="4" t="s">
        <v>116</v>
      </c>
      <c r="G42" s="4" t="s">
        <v>91</v>
      </c>
    </row>
    <row r="43" spans="1:7">
      <c r="A43" s="72" t="s">
        <v>168</v>
      </c>
      <c r="B43" s="4" t="s">
        <v>150</v>
      </c>
      <c r="C43" s="4" t="s">
        <v>166</v>
      </c>
      <c r="D43" s="4" t="s">
        <v>152</v>
      </c>
      <c r="E43" s="4" t="s">
        <v>167</v>
      </c>
      <c r="F43" s="4" t="s">
        <v>148</v>
      </c>
      <c r="G43" s="4" t="s">
        <v>91</v>
      </c>
    </row>
    <row r="44" spans="1:7">
      <c r="A44" s="72" t="s">
        <v>169</v>
      </c>
      <c r="B44" s="4" t="s">
        <v>150</v>
      </c>
      <c r="C44" s="4" t="s">
        <v>170</v>
      </c>
      <c r="D44" s="4" t="s">
        <v>152</v>
      </c>
      <c r="E44" s="4" t="s">
        <v>167</v>
      </c>
      <c r="F44" s="4" t="s">
        <v>116</v>
      </c>
      <c r="G44" s="4" t="s">
        <v>91</v>
      </c>
    </row>
    <row r="45" spans="1:7">
      <c r="A45" s="72" t="s">
        <v>171</v>
      </c>
      <c r="B45" s="4" t="s">
        <v>150</v>
      </c>
      <c r="C45" s="4" t="s">
        <v>170</v>
      </c>
      <c r="D45" s="4" t="s">
        <v>152</v>
      </c>
      <c r="E45" s="4" t="s">
        <v>167</v>
      </c>
      <c r="F45" s="4" t="s">
        <v>148</v>
      </c>
      <c r="G45" s="4" t="s">
        <v>91</v>
      </c>
    </row>
    <row r="46" spans="1:7">
      <c r="A46" s="72" t="s">
        <v>172</v>
      </c>
      <c r="B46" s="4" t="s">
        <v>150</v>
      </c>
      <c r="C46" s="4" t="s">
        <v>173</v>
      </c>
      <c r="D46" s="4" t="s">
        <v>152</v>
      </c>
      <c r="E46" s="4" t="s">
        <v>167</v>
      </c>
      <c r="F46" s="4" t="s">
        <v>116</v>
      </c>
      <c r="G46" s="4" t="s">
        <v>91</v>
      </c>
    </row>
    <row r="47" spans="1:7">
      <c r="A47" s="72" t="s">
        <v>174</v>
      </c>
      <c r="B47" s="4" t="s">
        <v>150</v>
      </c>
      <c r="C47" s="4" t="s">
        <v>173</v>
      </c>
      <c r="D47" s="4" t="s">
        <v>152</v>
      </c>
      <c r="E47" s="4" t="s">
        <v>167</v>
      </c>
      <c r="F47" s="4" t="s">
        <v>148</v>
      </c>
      <c r="G47" s="4" t="s">
        <v>91</v>
      </c>
    </row>
    <row r="48" spans="1:7">
      <c r="A48" s="72" t="s">
        <v>175</v>
      </c>
      <c r="B48" s="4" t="s">
        <v>150</v>
      </c>
      <c r="C48" s="4" t="s">
        <v>176</v>
      </c>
      <c r="D48" s="4" t="s">
        <v>152</v>
      </c>
      <c r="E48" s="4" t="s">
        <v>167</v>
      </c>
      <c r="F48" s="4" t="s">
        <v>116</v>
      </c>
      <c r="G48" s="4" t="s">
        <v>91</v>
      </c>
    </row>
    <row r="49" spans="1:7">
      <c r="A49" s="72" t="s">
        <v>177</v>
      </c>
      <c r="B49" s="4" t="s">
        <v>150</v>
      </c>
      <c r="C49" s="4" t="s">
        <v>176</v>
      </c>
      <c r="D49" s="4" t="s">
        <v>152</v>
      </c>
      <c r="E49" s="4" t="s">
        <v>167</v>
      </c>
      <c r="F49" s="4" t="s">
        <v>148</v>
      </c>
      <c r="G49" s="4" t="s">
        <v>91</v>
      </c>
    </row>
    <row r="50" spans="1:7">
      <c r="A50" s="72" t="s">
        <v>178</v>
      </c>
      <c r="B50" s="4" t="s">
        <v>150</v>
      </c>
      <c r="C50" s="4" t="s">
        <v>179</v>
      </c>
      <c r="D50" s="4" t="s">
        <v>152</v>
      </c>
      <c r="E50" s="4" t="s">
        <v>180</v>
      </c>
      <c r="F50" s="4" t="s">
        <v>181</v>
      </c>
      <c r="G50" s="4" t="s">
        <v>182</v>
      </c>
    </row>
    <row r="51" spans="1:7">
      <c r="A51" s="72" t="s">
        <v>183</v>
      </c>
      <c r="B51" s="4" t="s">
        <v>150</v>
      </c>
      <c r="C51" s="4" t="s">
        <v>179</v>
      </c>
      <c r="D51" s="4" t="s">
        <v>152</v>
      </c>
      <c r="E51" s="4" t="s">
        <v>180</v>
      </c>
      <c r="F51" s="4" t="s">
        <v>184</v>
      </c>
      <c r="G51" s="4" t="s">
        <v>182</v>
      </c>
    </row>
    <row r="52" spans="1:7">
      <c r="A52" s="72" t="s">
        <v>185</v>
      </c>
      <c r="B52" s="4" t="s">
        <v>150</v>
      </c>
      <c r="C52" s="4" t="s">
        <v>186</v>
      </c>
      <c r="D52" s="4" t="s">
        <v>152</v>
      </c>
      <c r="E52" s="4" t="s">
        <v>180</v>
      </c>
      <c r="F52" s="4" t="s">
        <v>181</v>
      </c>
      <c r="G52" s="4" t="s">
        <v>182</v>
      </c>
    </row>
    <row r="53" spans="1:7">
      <c r="A53" s="72" t="s">
        <v>187</v>
      </c>
      <c r="B53" s="4" t="s">
        <v>150</v>
      </c>
      <c r="C53" s="4" t="s">
        <v>186</v>
      </c>
      <c r="D53" s="4" t="s">
        <v>152</v>
      </c>
      <c r="E53" s="4" t="s">
        <v>180</v>
      </c>
      <c r="F53" s="4" t="s">
        <v>184</v>
      </c>
      <c r="G53" s="4" t="s">
        <v>182</v>
      </c>
    </row>
    <row r="54" spans="1:7">
      <c r="A54" s="72" t="s">
        <v>188</v>
      </c>
      <c r="B54" s="4" t="s">
        <v>150</v>
      </c>
      <c r="C54" s="4" t="s">
        <v>189</v>
      </c>
      <c r="D54" s="4" t="s">
        <v>152</v>
      </c>
      <c r="E54" s="4" t="s">
        <v>180</v>
      </c>
      <c r="F54" s="4" t="s">
        <v>181</v>
      </c>
      <c r="G54" s="4" t="s">
        <v>182</v>
      </c>
    </row>
    <row r="55" spans="1:7">
      <c r="A55" s="72" t="s">
        <v>190</v>
      </c>
      <c r="B55" s="4" t="s">
        <v>150</v>
      </c>
      <c r="C55" s="4" t="s">
        <v>189</v>
      </c>
      <c r="D55" s="4" t="s">
        <v>152</v>
      </c>
      <c r="E55" s="4" t="s">
        <v>180</v>
      </c>
      <c r="F55" s="4" t="s">
        <v>184</v>
      </c>
      <c r="G55" s="4" t="s">
        <v>182</v>
      </c>
    </row>
    <row r="56" spans="1:7">
      <c r="A56" s="72" t="s">
        <v>191</v>
      </c>
      <c r="B56" s="4" t="s">
        <v>150</v>
      </c>
      <c r="C56" s="4" t="s">
        <v>192</v>
      </c>
      <c r="D56" s="4" t="s">
        <v>152</v>
      </c>
      <c r="E56" s="4" t="s">
        <v>180</v>
      </c>
      <c r="F56" s="4" t="s">
        <v>181</v>
      </c>
      <c r="G56" s="4" t="s">
        <v>182</v>
      </c>
    </row>
    <row r="57" spans="1:7">
      <c r="A57" s="72" t="s">
        <v>193</v>
      </c>
      <c r="B57" s="4" t="s">
        <v>150</v>
      </c>
      <c r="C57" s="4" t="s">
        <v>194</v>
      </c>
      <c r="D57" s="4" t="s">
        <v>152</v>
      </c>
      <c r="E57" s="4" t="s">
        <v>180</v>
      </c>
      <c r="F57" s="4" t="s">
        <v>181</v>
      </c>
      <c r="G57" s="4" t="s">
        <v>182</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8F7A-ABFC-4B02-8543-E74D710D9228}">
  <dimension ref="A1:K367"/>
  <sheetViews>
    <sheetView workbookViewId="0"/>
  </sheetViews>
  <sheetFormatPr defaultRowHeight="15"/>
  <cols>
    <col min="1" max="1" width="12.140625" bestFit="1" customWidth="1"/>
    <col min="2" max="2" width="5" bestFit="1" customWidth="1"/>
    <col min="3" max="3" width="10" bestFit="1" customWidth="1"/>
    <col min="4" max="4" width="11.5703125" bestFit="1" customWidth="1"/>
    <col min="5" max="5" width="12.42578125" bestFit="1" customWidth="1"/>
    <col min="6" max="6" width="9.28515625" bestFit="1" customWidth="1"/>
    <col min="7" max="7" width="15.42578125" bestFit="1" customWidth="1"/>
    <col min="8" max="8" width="14.5703125" bestFit="1" customWidth="1"/>
    <col min="9" max="9" width="11.42578125" bestFit="1" customWidth="1"/>
    <col min="10" max="10" width="7.28515625" bestFit="1" customWidth="1"/>
    <col min="11" max="11" width="16.28515625" bestFit="1" customWidth="1"/>
  </cols>
  <sheetData>
    <row r="1" spans="1:11">
      <c r="A1" s="3" t="s">
        <v>195</v>
      </c>
      <c r="B1" s="37" t="s">
        <v>196</v>
      </c>
      <c r="C1" s="37" t="s">
        <v>197</v>
      </c>
      <c r="D1" s="3" t="s">
        <v>198</v>
      </c>
      <c r="E1" s="3" t="s">
        <v>199</v>
      </c>
      <c r="F1" s="37" t="s">
        <v>200</v>
      </c>
      <c r="G1" s="3" t="s">
        <v>201</v>
      </c>
      <c r="H1" s="3" t="s">
        <v>202</v>
      </c>
      <c r="I1" s="3" t="s">
        <v>203</v>
      </c>
      <c r="J1" s="37" t="s">
        <v>204</v>
      </c>
      <c r="K1" s="3" t="s">
        <v>205</v>
      </c>
    </row>
    <row r="2" spans="1:11">
      <c r="A2" s="73">
        <f>DATE(2026,1,1)</f>
        <v>46023</v>
      </c>
      <c r="B2" s="74">
        <f>YEAR(A2)</f>
        <v>2026</v>
      </c>
      <c r="C2" s="74">
        <f>MONTH(A2)</f>
        <v>1</v>
      </c>
      <c r="D2" t="str">
        <f>TEXT(A2,"mmmm")</f>
        <v>January</v>
      </c>
      <c r="E2" s="74" t="str">
        <f>"Q"&amp;ROUNDUP(MONTH(A2)/3,0)</f>
        <v>Q1</v>
      </c>
      <c r="F2" s="74">
        <f>WEEKNUM(A2,2)</f>
        <v>1</v>
      </c>
      <c r="G2" s="73">
        <f>A2-WEEKDAY(A2,2)+1</f>
        <v>46020</v>
      </c>
      <c r="H2" s="73">
        <f>G2+6</f>
        <v>46026</v>
      </c>
      <c r="I2" t="str">
        <f>TEXT(A2,"dddd")</f>
        <v>Thursday</v>
      </c>
      <c r="J2" s="74">
        <f>WEEKDAY(A2,2)</f>
        <v>4</v>
      </c>
      <c r="K2" s="74" t="str">
        <f>TEXT(A2,"mmm-yyyy")</f>
        <v>Jan-2026</v>
      </c>
    </row>
    <row r="3" spans="1:11">
      <c r="A3" s="73">
        <f>A2+1</f>
        <v>46024</v>
      </c>
      <c r="B3" s="74">
        <f t="shared" ref="B3:B66" si="0">YEAR(A3)</f>
        <v>2026</v>
      </c>
      <c r="C3" s="74">
        <f t="shared" ref="C3:C66" si="1">MONTH(A3)</f>
        <v>1</v>
      </c>
      <c r="D3" t="str">
        <f t="shared" ref="D3:D66" si="2">TEXT(A3,"mmmm")</f>
        <v>January</v>
      </c>
      <c r="E3" s="74" t="str">
        <f t="shared" ref="E3:E66" si="3">"Q"&amp;ROUNDUP(MONTH(A3)/3,0)</f>
        <v>Q1</v>
      </c>
      <c r="F3" s="74">
        <f t="shared" ref="F3:F66" si="4">WEEKNUM(A3,2)</f>
        <v>1</v>
      </c>
      <c r="G3" s="73">
        <f t="shared" ref="G3:G66" si="5">A3-WEEKDAY(A3,2)+1</f>
        <v>46020</v>
      </c>
      <c r="H3" s="73">
        <f t="shared" ref="H3:H66" si="6">G3+6</f>
        <v>46026</v>
      </c>
      <c r="I3" t="str">
        <f t="shared" ref="I3:I66" si="7">TEXT(A3,"dddd")</f>
        <v>Friday</v>
      </c>
      <c r="J3" s="74">
        <f t="shared" ref="J3:J66" si="8">WEEKDAY(A3,2)</f>
        <v>5</v>
      </c>
      <c r="K3" s="74" t="str">
        <f t="shared" ref="K3:K66" si="9">TEXT(A3,"mmm-yyyy")</f>
        <v>Jan-2026</v>
      </c>
    </row>
    <row r="4" spans="1:11">
      <c r="A4" s="73">
        <f t="shared" ref="A4:A67" si="10">A3+1</f>
        <v>46025</v>
      </c>
      <c r="B4" s="74">
        <f t="shared" si="0"/>
        <v>2026</v>
      </c>
      <c r="C4" s="74">
        <f t="shared" si="1"/>
        <v>1</v>
      </c>
      <c r="D4" t="str">
        <f t="shared" si="2"/>
        <v>January</v>
      </c>
      <c r="E4" s="74" t="str">
        <f t="shared" si="3"/>
        <v>Q1</v>
      </c>
      <c r="F4" s="74">
        <f t="shared" si="4"/>
        <v>1</v>
      </c>
      <c r="G4" s="73">
        <f t="shared" si="5"/>
        <v>46020</v>
      </c>
      <c r="H4" s="73">
        <f t="shared" si="6"/>
        <v>46026</v>
      </c>
      <c r="I4" t="str">
        <f t="shared" si="7"/>
        <v>Saturday</v>
      </c>
      <c r="J4" s="74">
        <f t="shared" si="8"/>
        <v>6</v>
      </c>
      <c r="K4" s="74" t="str">
        <f t="shared" si="9"/>
        <v>Jan-2026</v>
      </c>
    </row>
    <row r="5" spans="1:11">
      <c r="A5" s="73">
        <f t="shared" si="10"/>
        <v>46026</v>
      </c>
      <c r="B5" s="74">
        <f t="shared" si="0"/>
        <v>2026</v>
      </c>
      <c r="C5" s="74">
        <f t="shared" si="1"/>
        <v>1</v>
      </c>
      <c r="D5" t="str">
        <f t="shared" si="2"/>
        <v>January</v>
      </c>
      <c r="E5" s="74" t="str">
        <f t="shared" si="3"/>
        <v>Q1</v>
      </c>
      <c r="F5" s="74">
        <f t="shared" si="4"/>
        <v>1</v>
      </c>
      <c r="G5" s="73">
        <f t="shared" si="5"/>
        <v>46020</v>
      </c>
      <c r="H5" s="73">
        <f t="shared" si="6"/>
        <v>46026</v>
      </c>
      <c r="I5" t="str">
        <f t="shared" si="7"/>
        <v>Sunday</v>
      </c>
      <c r="J5" s="74">
        <f t="shared" si="8"/>
        <v>7</v>
      </c>
      <c r="K5" s="74" t="str">
        <f t="shared" si="9"/>
        <v>Jan-2026</v>
      </c>
    </row>
    <row r="6" spans="1:11">
      <c r="A6" s="73">
        <f t="shared" si="10"/>
        <v>46027</v>
      </c>
      <c r="B6" s="74">
        <f t="shared" si="0"/>
        <v>2026</v>
      </c>
      <c r="C6" s="74">
        <f t="shared" si="1"/>
        <v>1</v>
      </c>
      <c r="D6" t="str">
        <f t="shared" si="2"/>
        <v>January</v>
      </c>
      <c r="E6" s="74" t="str">
        <f t="shared" si="3"/>
        <v>Q1</v>
      </c>
      <c r="F6" s="74">
        <f t="shared" si="4"/>
        <v>2</v>
      </c>
      <c r="G6" s="73">
        <f t="shared" si="5"/>
        <v>46027</v>
      </c>
      <c r="H6" s="73">
        <f t="shared" si="6"/>
        <v>46033</v>
      </c>
      <c r="I6" t="str">
        <f t="shared" si="7"/>
        <v>Monday</v>
      </c>
      <c r="J6" s="74">
        <f t="shared" si="8"/>
        <v>1</v>
      </c>
      <c r="K6" s="74" t="str">
        <f t="shared" si="9"/>
        <v>Jan-2026</v>
      </c>
    </row>
    <row r="7" spans="1:11">
      <c r="A7" s="73">
        <f t="shared" si="10"/>
        <v>46028</v>
      </c>
      <c r="B7" s="74">
        <f t="shared" si="0"/>
        <v>2026</v>
      </c>
      <c r="C7" s="74">
        <f t="shared" si="1"/>
        <v>1</v>
      </c>
      <c r="D7" t="str">
        <f t="shared" si="2"/>
        <v>January</v>
      </c>
      <c r="E7" s="74" t="str">
        <f t="shared" si="3"/>
        <v>Q1</v>
      </c>
      <c r="F7" s="74">
        <f t="shared" si="4"/>
        <v>2</v>
      </c>
      <c r="G7" s="73">
        <f t="shared" si="5"/>
        <v>46027</v>
      </c>
      <c r="H7" s="73">
        <f t="shared" si="6"/>
        <v>46033</v>
      </c>
      <c r="I7" t="str">
        <f t="shared" si="7"/>
        <v>Tuesday</v>
      </c>
      <c r="J7" s="74">
        <f t="shared" si="8"/>
        <v>2</v>
      </c>
      <c r="K7" s="74" t="str">
        <f t="shared" si="9"/>
        <v>Jan-2026</v>
      </c>
    </row>
    <row r="8" spans="1:11">
      <c r="A8" s="73">
        <f t="shared" si="10"/>
        <v>46029</v>
      </c>
      <c r="B8" s="74">
        <f t="shared" si="0"/>
        <v>2026</v>
      </c>
      <c r="C8" s="74">
        <f t="shared" si="1"/>
        <v>1</v>
      </c>
      <c r="D8" t="str">
        <f t="shared" si="2"/>
        <v>January</v>
      </c>
      <c r="E8" s="74" t="str">
        <f t="shared" si="3"/>
        <v>Q1</v>
      </c>
      <c r="F8" s="74">
        <f t="shared" si="4"/>
        <v>2</v>
      </c>
      <c r="G8" s="73">
        <f t="shared" si="5"/>
        <v>46027</v>
      </c>
      <c r="H8" s="73">
        <f t="shared" si="6"/>
        <v>46033</v>
      </c>
      <c r="I8" t="str">
        <f t="shared" si="7"/>
        <v>Wednesday</v>
      </c>
      <c r="J8" s="74">
        <f t="shared" si="8"/>
        <v>3</v>
      </c>
      <c r="K8" s="74" t="str">
        <f t="shared" si="9"/>
        <v>Jan-2026</v>
      </c>
    </row>
    <row r="9" spans="1:11">
      <c r="A9" s="73">
        <f t="shared" si="10"/>
        <v>46030</v>
      </c>
      <c r="B9" s="74">
        <f t="shared" si="0"/>
        <v>2026</v>
      </c>
      <c r="C9" s="74">
        <f t="shared" si="1"/>
        <v>1</v>
      </c>
      <c r="D9" t="str">
        <f t="shared" si="2"/>
        <v>January</v>
      </c>
      <c r="E9" s="74" t="str">
        <f t="shared" si="3"/>
        <v>Q1</v>
      </c>
      <c r="F9" s="74">
        <f t="shared" si="4"/>
        <v>2</v>
      </c>
      <c r="G9" s="73">
        <f t="shared" si="5"/>
        <v>46027</v>
      </c>
      <c r="H9" s="73">
        <f t="shared" si="6"/>
        <v>46033</v>
      </c>
      <c r="I9" t="str">
        <f t="shared" si="7"/>
        <v>Thursday</v>
      </c>
      <c r="J9" s="74">
        <f t="shared" si="8"/>
        <v>4</v>
      </c>
      <c r="K9" s="74" t="str">
        <f t="shared" si="9"/>
        <v>Jan-2026</v>
      </c>
    </row>
    <row r="10" spans="1:11">
      <c r="A10" s="73">
        <f t="shared" si="10"/>
        <v>46031</v>
      </c>
      <c r="B10" s="74">
        <f t="shared" si="0"/>
        <v>2026</v>
      </c>
      <c r="C10" s="74">
        <f t="shared" si="1"/>
        <v>1</v>
      </c>
      <c r="D10" t="str">
        <f t="shared" si="2"/>
        <v>January</v>
      </c>
      <c r="E10" s="74" t="str">
        <f t="shared" si="3"/>
        <v>Q1</v>
      </c>
      <c r="F10" s="74">
        <f t="shared" si="4"/>
        <v>2</v>
      </c>
      <c r="G10" s="73">
        <f t="shared" si="5"/>
        <v>46027</v>
      </c>
      <c r="H10" s="73">
        <f t="shared" si="6"/>
        <v>46033</v>
      </c>
      <c r="I10" t="str">
        <f t="shared" si="7"/>
        <v>Friday</v>
      </c>
      <c r="J10" s="74">
        <f t="shared" si="8"/>
        <v>5</v>
      </c>
      <c r="K10" s="74" t="str">
        <f t="shared" si="9"/>
        <v>Jan-2026</v>
      </c>
    </row>
    <row r="11" spans="1:11">
      <c r="A11" s="73">
        <f t="shared" si="10"/>
        <v>46032</v>
      </c>
      <c r="B11" s="74">
        <f t="shared" si="0"/>
        <v>2026</v>
      </c>
      <c r="C11" s="74">
        <f t="shared" si="1"/>
        <v>1</v>
      </c>
      <c r="D11" t="str">
        <f t="shared" si="2"/>
        <v>January</v>
      </c>
      <c r="E11" s="74" t="str">
        <f t="shared" si="3"/>
        <v>Q1</v>
      </c>
      <c r="F11" s="74">
        <f t="shared" si="4"/>
        <v>2</v>
      </c>
      <c r="G11" s="73">
        <f t="shared" si="5"/>
        <v>46027</v>
      </c>
      <c r="H11" s="73">
        <f t="shared" si="6"/>
        <v>46033</v>
      </c>
      <c r="I11" t="str">
        <f t="shared" si="7"/>
        <v>Saturday</v>
      </c>
      <c r="J11" s="74">
        <f t="shared" si="8"/>
        <v>6</v>
      </c>
      <c r="K11" s="74" t="str">
        <f t="shared" si="9"/>
        <v>Jan-2026</v>
      </c>
    </row>
    <row r="12" spans="1:11">
      <c r="A12" s="73">
        <f t="shared" si="10"/>
        <v>46033</v>
      </c>
      <c r="B12" s="74">
        <f t="shared" si="0"/>
        <v>2026</v>
      </c>
      <c r="C12" s="74">
        <f t="shared" si="1"/>
        <v>1</v>
      </c>
      <c r="D12" t="str">
        <f t="shared" si="2"/>
        <v>January</v>
      </c>
      <c r="E12" s="74" t="str">
        <f t="shared" si="3"/>
        <v>Q1</v>
      </c>
      <c r="F12" s="74">
        <f t="shared" si="4"/>
        <v>2</v>
      </c>
      <c r="G12" s="73">
        <f t="shared" si="5"/>
        <v>46027</v>
      </c>
      <c r="H12" s="73">
        <f t="shared" si="6"/>
        <v>46033</v>
      </c>
      <c r="I12" t="str">
        <f t="shared" si="7"/>
        <v>Sunday</v>
      </c>
      <c r="J12" s="74">
        <f t="shared" si="8"/>
        <v>7</v>
      </c>
      <c r="K12" s="74" t="str">
        <f t="shared" si="9"/>
        <v>Jan-2026</v>
      </c>
    </row>
    <row r="13" spans="1:11">
      <c r="A13" s="73">
        <f t="shared" si="10"/>
        <v>46034</v>
      </c>
      <c r="B13" s="74">
        <f t="shared" si="0"/>
        <v>2026</v>
      </c>
      <c r="C13" s="74">
        <f t="shared" si="1"/>
        <v>1</v>
      </c>
      <c r="D13" t="str">
        <f t="shared" si="2"/>
        <v>January</v>
      </c>
      <c r="E13" s="74" t="str">
        <f t="shared" si="3"/>
        <v>Q1</v>
      </c>
      <c r="F13" s="74">
        <f t="shared" si="4"/>
        <v>3</v>
      </c>
      <c r="G13" s="73">
        <f t="shared" si="5"/>
        <v>46034</v>
      </c>
      <c r="H13" s="73">
        <f t="shared" si="6"/>
        <v>46040</v>
      </c>
      <c r="I13" t="str">
        <f t="shared" si="7"/>
        <v>Monday</v>
      </c>
      <c r="J13" s="74">
        <f t="shared" si="8"/>
        <v>1</v>
      </c>
      <c r="K13" s="74" t="str">
        <f t="shared" si="9"/>
        <v>Jan-2026</v>
      </c>
    </row>
    <row r="14" spans="1:11">
      <c r="A14" s="73">
        <f t="shared" si="10"/>
        <v>46035</v>
      </c>
      <c r="B14" s="74">
        <f t="shared" si="0"/>
        <v>2026</v>
      </c>
      <c r="C14" s="74">
        <f t="shared" si="1"/>
        <v>1</v>
      </c>
      <c r="D14" t="str">
        <f t="shared" si="2"/>
        <v>January</v>
      </c>
      <c r="E14" s="74" t="str">
        <f t="shared" si="3"/>
        <v>Q1</v>
      </c>
      <c r="F14" s="74">
        <f t="shared" si="4"/>
        <v>3</v>
      </c>
      <c r="G14" s="73">
        <f t="shared" si="5"/>
        <v>46034</v>
      </c>
      <c r="H14" s="73">
        <f t="shared" si="6"/>
        <v>46040</v>
      </c>
      <c r="I14" t="str">
        <f t="shared" si="7"/>
        <v>Tuesday</v>
      </c>
      <c r="J14" s="74">
        <f t="shared" si="8"/>
        <v>2</v>
      </c>
      <c r="K14" s="74" t="str">
        <f t="shared" si="9"/>
        <v>Jan-2026</v>
      </c>
    </row>
    <row r="15" spans="1:11">
      <c r="A15" s="73">
        <f t="shared" si="10"/>
        <v>46036</v>
      </c>
      <c r="B15" s="74">
        <f t="shared" si="0"/>
        <v>2026</v>
      </c>
      <c r="C15" s="74">
        <f t="shared" si="1"/>
        <v>1</v>
      </c>
      <c r="D15" t="str">
        <f t="shared" si="2"/>
        <v>January</v>
      </c>
      <c r="E15" s="74" t="str">
        <f t="shared" si="3"/>
        <v>Q1</v>
      </c>
      <c r="F15" s="74">
        <f t="shared" si="4"/>
        <v>3</v>
      </c>
      <c r="G15" s="73">
        <f t="shared" si="5"/>
        <v>46034</v>
      </c>
      <c r="H15" s="73">
        <f t="shared" si="6"/>
        <v>46040</v>
      </c>
      <c r="I15" t="str">
        <f t="shared" si="7"/>
        <v>Wednesday</v>
      </c>
      <c r="J15" s="74">
        <f t="shared" si="8"/>
        <v>3</v>
      </c>
      <c r="K15" s="74" t="str">
        <f t="shared" si="9"/>
        <v>Jan-2026</v>
      </c>
    </row>
    <row r="16" spans="1:11">
      <c r="A16" s="73">
        <f t="shared" si="10"/>
        <v>46037</v>
      </c>
      <c r="B16" s="74">
        <f t="shared" si="0"/>
        <v>2026</v>
      </c>
      <c r="C16" s="74">
        <f t="shared" si="1"/>
        <v>1</v>
      </c>
      <c r="D16" t="str">
        <f t="shared" si="2"/>
        <v>January</v>
      </c>
      <c r="E16" s="74" t="str">
        <f t="shared" si="3"/>
        <v>Q1</v>
      </c>
      <c r="F16" s="74">
        <f t="shared" si="4"/>
        <v>3</v>
      </c>
      <c r="G16" s="73">
        <f t="shared" si="5"/>
        <v>46034</v>
      </c>
      <c r="H16" s="73">
        <f t="shared" si="6"/>
        <v>46040</v>
      </c>
      <c r="I16" t="str">
        <f t="shared" si="7"/>
        <v>Thursday</v>
      </c>
      <c r="J16" s="74">
        <f t="shared" si="8"/>
        <v>4</v>
      </c>
      <c r="K16" s="74" t="str">
        <f t="shared" si="9"/>
        <v>Jan-2026</v>
      </c>
    </row>
    <row r="17" spans="1:11">
      <c r="A17" s="73">
        <f t="shared" si="10"/>
        <v>46038</v>
      </c>
      <c r="B17" s="74">
        <f t="shared" si="0"/>
        <v>2026</v>
      </c>
      <c r="C17" s="74">
        <f t="shared" si="1"/>
        <v>1</v>
      </c>
      <c r="D17" t="str">
        <f t="shared" si="2"/>
        <v>January</v>
      </c>
      <c r="E17" s="74" t="str">
        <f t="shared" si="3"/>
        <v>Q1</v>
      </c>
      <c r="F17" s="74">
        <f t="shared" si="4"/>
        <v>3</v>
      </c>
      <c r="G17" s="73">
        <f t="shared" si="5"/>
        <v>46034</v>
      </c>
      <c r="H17" s="73">
        <f t="shared" si="6"/>
        <v>46040</v>
      </c>
      <c r="I17" t="str">
        <f t="shared" si="7"/>
        <v>Friday</v>
      </c>
      <c r="J17" s="74">
        <f t="shared" si="8"/>
        <v>5</v>
      </c>
      <c r="K17" s="74" t="str">
        <f t="shared" si="9"/>
        <v>Jan-2026</v>
      </c>
    </row>
    <row r="18" spans="1:11">
      <c r="A18" s="73">
        <f t="shared" si="10"/>
        <v>46039</v>
      </c>
      <c r="B18" s="74">
        <f t="shared" si="0"/>
        <v>2026</v>
      </c>
      <c r="C18" s="74">
        <f t="shared" si="1"/>
        <v>1</v>
      </c>
      <c r="D18" t="str">
        <f t="shared" si="2"/>
        <v>January</v>
      </c>
      <c r="E18" s="74" t="str">
        <f t="shared" si="3"/>
        <v>Q1</v>
      </c>
      <c r="F18" s="74">
        <f t="shared" si="4"/>
        <v>3</v>
      </c>
      <c r="G18" s="73">
        <f t="shared" si="5"/>
        <v>46034</v>
      </c>
      <c r="H18" s="73">
        <f t="shared" si="6"/>
        <v>46040</v>
      </c>
      <c r="I18" t="str">
        <f t="shared" si="7"/>
        <v>Saturday</v>
      </c>
      <c r="J18" s="74">
        <f t="shared" si="8"/>
        <v>6</v>
      </c>
      <c r="K18" s="74" t="str">
        <f t="shared" si="9"/>
        <v>Jan-2026</v>
      </c>
    </row>
    <row r="19" spans="1:11">
      <c r="A19" s="73">
        <f t="shared" si="10"/>
        <v>46040</v>
      </c>
      <c r="B19" s="74">
        <f t="shared" si="0"/>
        <v>2026</v>
      </c>
      <c r="C19" s="74">
        <f t="shared" si="1"/>
        <v>1</v>
      </c>
      <c r="D19" t="str">
        <f t="shared" si="2"/>
        <v>January</v>
      </c>
      <c r="E19" s="74" t="str">
        <f t="shared" si="3"/>
        <v>Q1</v>
      </c>
      <c r="F19" s="74">
        <f t="shared" si="4"/>
        <v>3</v>
      </c>
      <c r="G19" s="73">
        <f t="shared" si="5"/>
        <v>46034</v>
      </c>
      <c r="H19" s="73">
        <f t="shared" si="6"/>
        <v>46040</v>
      </c>
      <c r="I19" t="str">
        <f t="shared" si="7"/>
        <v>Sunday</v>
      </c>
      <c r="J19" s="74">
        <f t="shared" si="8"/>
        <v>7</v>
      </c>
      <c r="K19" s="74" t="str">
        <f t="shared" si="9"/>
        <v>Jan-2026</v>
      </c>
    </row>
    <row r="20" spans="1:11">
      <c r="A20" s="73">
        <f t="shared" si="10"/>
        <v>46041</v>
      </c>
      <c r="B20" s="74">
        <f t="shared" si="0"/>
        <v>2026</v>
      </c>
      <c r="C20" s="74">
        <f t="shared" si="1"/>
        <v>1</v>
      </c>
      <c r="D20" t="str">
        <f t="shared" si="2"/>
        <v>January</v>
      </c>
      <c r="E20" s="74" t="str">
        <f t="shared" si="3"/>
        <v>Q1</v>
      </c>
      <c r="F20" s="74">
        <f t="shared" si="4"/>
        <v>4</v>
      </c>
      <c r="G20" s="73">
        <f t="shared" si="5"/>
        <v>46041</v>
      </c>
      <c r="H20" s="73">
        <f t="shared" si="6"/>
        <v>46047</v>
      </c>
      <c r="I20" t="str">
        <f t="shared" si="7"/>
        <v>Monday</v>
      </c>
      <c r="J20" s="74">
        <f t="shared" si="8"/>
        <v>1</v>
      </c>
      <c r="K20" s="74" t="str">
        <f t="shared" si="9"/>
        <v>Jan-2026</v>
      </c>
    </row>
    <row r="21" spans="1:11">
      <c r="A21" s="73">
        <f t="shared" si="10"/>
        <v>46042</v>
      </c>
      <c r="B21" s="74">
        <f t="shared" si="0"/>
        <v>2026</v>
      </c>
      <c r="C21" s="74">
        <f t="shared" si="1"/>
        <v>1</v>
      </c>
      <c r="D21" t="str">
        <f t="shared" si="2"/>
        <v>January</v>
      </c>
      <c r="E21" s="74" t="str">
        <f t="shared" si="3"/>
        <v>Q1</v>
      </c>
      <c r="F21" s="74">
        <f t="shared" si="4"/>
        <v>4</v>
      </c>
      <c r="G21" s="73">
        <f t="shared" si="5"/>
        <v>46041</v>
      </c>
      <c r="H21" s="73">
        <f t="shared" si="6"/>
        <v>46047</v>
      </c>
      <c r="I21" t="str">
        <f t="shared" si="7"/>
        <v>Tuesday</v>
      </c>
      <c r="J21" s="74">
        <f t="shared" si="8"/>
        <v>2</v>
      </c>
      <c r="K21" s="74" t="str">
        <f t="shared" si="9"/>
        <v>Jan-2026</v>
      </c>
    </row>
    <row r="22" spans="1:11">
      <c r="A22" s="73">
        <f t="shared" si="10"/>
        <v>46043</v>
      </c>
      <c r="B22" s="74">
        <f t="shared" si="0"/>
        <v>2026</v>
      </c>
      <c r="C22" s="74">
        <f t="shared" si="1"/>
        <v>1</v>
      </c>
      <c r="D22" t="str">
        <f t="shared" si="2"/>
        <v>January</v>
      </c>
      <c r="E22" s="74" t="str">
        <f t="shared" si="3"/>
        <v>Q1</v>
      </c>
      <c r="F22" s="74">
        <f t="shared" si="4"/>
        <v>4</v>
      </c>
      <c r="G22" s="73">
        <f t="shared" si="5"/>
        <v>46041</v>
      </c>
      <c r="H22" s="73">
        <f t="shared" si="6"/>
        <v>46047</v>
      </c>
      <c r="I22" t="str">
        <f t="shared" si="7"/>
        <v>Wednesday</v>
      </c>
      <c r="J22" s="74">
        <f t="shared" si="8"/>
        <v>3</v>
      </c>
      <c r="K22" s="74" t="str">
        <f t="shared" si="9"/>
        <v>Jan-2026</v>
      </c>
    </row>
    <row r="23" spans="1:11">
      <c r="A23" s="73">
        <f t="shared" si="10"/>
        <v>46044</v>
      </c>
      <c r="B23" s="74">
        <f t="shared" si="0"/>
        <v>2026</v>
      </c>
      <c r="C23" s="74">
        <f t="shared" si="1"/>
        <v>1</v>
      </c>
      <c r="D23" t="str">
        <f t="shared" si="2"/>
        <v>January</v>
      </c>
      <c r="E23" s="74" t="str">
        <f t="shared" si="3"/>
        <v>Q1</v>
      </c>
      <c r="F23" s="74">
        <f t="shared" si="4"/>
        <v>4</v>
      </c>
      <c r="G23" s="73">
        <f t="shared" si="5"/>
        <v>46041</v>
      </c>
      <c r="H23" s="73">
        <f t="shared" si="6"/>
        <v>46047</v>
      </c>
      <c r="I23" t="str">
        <f t="shared" si="7"/>
        <v>Thursday</v>
      </c>
      <c r="J23" s="74">
        <f t="shared" si="8"/>
        <v>4</v>
      </c>
      <c r="K23" s="74" t="str">
        <f t="shared" si="9"/>
        <v>Jan-2026</v>
      </c>
    </row>
    <row r="24" spans="1:11">
      <c r="A24" s="73">
        <f t="shared" si="10"/>
        <v>46045</v>
      </c>
      <c r="B24" s="74">
        <f t="shared" si="0"/>
        <v>2026</v>
      </c>
      <c r="C24" s="74">
        <f t="shared" si="1"/>
        <v>1</v>
      </c>
      <c r="D24" t="str">
        <f t="shared" si="2"/>
        <v>January</v>
      </c>
      <c r="E24" s="74" t="str">
        <f t="shared" si="3"/>
        <v>Q1</v>
      </c>
      <c r="F24" s="74">
        <f t="shared" si="4"/>
        <v>4</v>
      </c>
      <c r="G24" s="73">
        <f t="shared" si="5"/>
        <v>46041</v>
      </c>
      <c r="H24" s="73">
        <f t="shared" si="6"/>
        <v>46047</v>
      </c>
      <c r="I24" t="str">
        <f t="shared" si="7"/>
        <v>Friday</v>
      </c>
      <c r="J24" s="74">
        <f t="shared" si="8"/>
        <v>5</v>
      </c>
      <c r="K24" s="74" t="str">
        <f t="shared" si="9"/>
        <v>Jan-2026</v>
      </c>
    </row>
    <row r="25" spans="1:11">
      <c r="A25" s="73">
        <f t="shared" si="10"/>
        <v>46046</v>
      </c>
      <c r="B25" s="74">
        <f t="shared" si="0"/>
        <v>2026</v>
      </c>
      <c r="C25" s="74">
        <f t="shared" si="1"/>
        <v>1</v>
      </c>
      <c r="D25" t="str">
        <f t="shared" si="2"/>
        <v>January</v>
      </c>
      <c r="E25" s="74" t="str">
        <f t="shared" si="3"/>
        <v>Q1</v>
      </c>
      <c r="F25" s="74">
        <f t="shared" si="4"/>
        <v>4</v>
      </c>
      <c r="G25" s="73">
        <f t="shared" si="5"/>
        <v>46041</v>
      </c>
      <c r="H25" s="73">
        <f t="shared" si="6"/>
        <v>46047</v>
      </c>
      <c r="I25" t="str">
        <f t="shared" si="7"/>
        <v>Saturday</v>
      </c>
      <c r="J25" s="74">
        <f t="shared" si="8"/>
        <v>6</v>
      </c>
      <c r="K25" s="74" t="str">
        <f t="shared" si="9"/>
        <v>Jan-2026</v>
      </c>
    </row>
    <row r="26" spans="1:11">
      <c r="A26" s="73">
        <f t="shared" si="10"/>
        <v>46047</v>
      </c>
      <c r="B26" s="74">
        <f t="shared" si="0"/>
        <v>2026</v>
      </c>
      <c r="C26" s="74">
        <f t="shared" si="1"/>
        <v>1</v>
      </c>
      <c r="D26" t="str">
        <f t="shared" si="2"/>
        <v>January</v>
      </c>
      <c r="E26" s="74" t="str">
        <f t="shared" si="3"/>
        <v>Q1</v>
      </c>
      <c r="F26" s="74">
        <f t="shared" si="4"/>
        <v>4</v>
      </c>
      <c r="G26" s="73">
        <f t="shared" si="5"/>
        <v>46041</v>
      </c>
      <c r="H26" s="73">
        <f t="shared" si="6"/>
        <v>46047</v>
      </c>
      <c r="I26" t="str">
        <f t="shared" si="7"/>
        <v>Sunday</v>
      </c>
      <c r="J26" s="74">
        <f t="shared" si="8"/>
        <v>7</v>
      </c>
      <c r="K26" s="74" t="str">
        <f t="shared" si="9"/>
        <v>Jan-2026</v>
      </c>
    </row>
    <row r="27" spans="1:11">
      <c r="A27" s="73">
        <f t="shared" si="10"/>
        <v>46048</v>
      </c>
      <c r="B27" s="74">
        <f t="shared" si="0"/>
        <v>2026</v>
      </c>
      <c r="C27" s="74">
        <f t="shared" si="1"/>
        <v>1</v>
      </c>
      <c r="D27" t="str">
        <f t="shared" si="2"/>
        <v>January</v>
      </c>
      <c r="E27" s="74" t="str">
        <f t="shared" si="3"/>
        <v>Q1</v>
      </c>
      <c r="F27" s="74">
        <f t="shared" si="4"/>
        <v>5</v>
      </c>
      <c r="G27" s="73">
        <f t="shared" si="5"/>
        <v>46048</v>
      </c>
      <c r="H27" s="73">
        <f t="shared" si="6"/>
        <v>46054</v>
      </c>
      <c r="I27" t="str">
        <f t="shared" si="7"/>
        <v>Monday</v>
      </c>
      <c r="J27" s="74">
        <f t="shared" si="8"/>
        <v>1</v>
      </c>
      <c r="K27" s="74" t="str">
        <f t="shared" si="9"/>
        <v>Jan-2026</v>
      </c>
    </row>
    <row r="28" spans="1:11">
      <c r="A28" s="73">
        <f t="shared" si="10"/>
        <v>46049</v>
      </c>
      <c r="B28" s="74">
        <f t="shared" si="0"/>
        <v>2026</v>
      </c>
      <c r="C28" s="74">
        <f t="shared" si="1"/>
        <v>1</v>
      </c>
      <c r="D28" t="str">
        <f t="shared" si="2"/>
        <v>January</v>
      </c>
      <c r="E28" s="74" t="str">
        <f t="shared" si="3"/>
        <v>Q1</v>
      </c>
      <c r="F28" s="74">
        <f t="shared" si="4"/>
        <v>5</v>
      </c>
      <c r="G28" s="73">
        <f t="shared" si="5"/>
        <v>46048</v>
      </c>
      <c r="H28" s="73">
        <f t="shared" si="6"/>
        <v>46054</v>
      </c>
      <c r="I28" t="str">
        <f t="shared" si="7"/>
        <v>Tuesday</v>
      </c>
      <c r="J28" s="74">
        <f t="shared" si="8"/>
        <v>2</v>
      </c>
      <c r="K28" s="74" t="str">
        <f t="shared" si="9"/>
        <v>Jan-2026</v>
      </c>
    </row>
    <row r="29" spans="1:11">
      <c r="A29" s="73">
        <f t="shared" si="10"/>
        <v>46050</v>
      </c>
      <c r="B29" s="74">
        <f t="shared" si="0"/>
        <v>2026</v>
      </c>
      <c r="C29" s="74">
        <f t="shared" si="1"/>
        <v>1</v>
      </c>
      <c r="D29" t="str">
        <f t="shared" si="2"/>
        <v>January</v>
      </c>
      <c r="E29" s="74" t="str">
        <f t="shared" si="3"/>
        <v>Q1</v>
      </c>
      <c r="F29" s="74">
        <f t="shared" si="4"/>
        <v>5</v>
      </c>
      <c r="G29" s="73">
        <f t="shared" si="5"/>
        <v>46048</v>
      </c>
      <c r="H29" s="73">
        <f t="shared" si="6"/>
        <v>46054</v>
      </c>
      <c r="I29" t="str">
        <f t="shared" si="7"/>
        <v>Wednesday</v>
      </c>
      <c r="J29" s="74">
        <f t="shared" si="8"/>
        <v>3</v>
      </c>
      <c r="K29" s="74" t="str">
        <f t="shared" si="9"/>
        <v>Jan-2026</v>
      </c>
    </row>
    <row r="30" spans="1:11">
      <c r="A30" s="73">
        <f t="shared" si="10"/>
        <v>46051</v>
      </c>
      <c r="B30" s="74">
        <f t="shared" si="0"/>
        <v>2026</v>
      </c>
      <c r="C30" s="74">
        <f t="shared" si="1"/>
        <v>1</v>
      </c>
      <c r="D30" t="str">
        <f t="shared" si="2"/>
        <v>January</v>
      </c>
      <c r="E30" s="74" t="str">
        <f t="shared" si="3"/>
        <v>Q1</v>
      </c>
      <c r="F30" s="74">
        <f t="shared" si="4"/>
        <v>5</v>
      </c>
      <c r="G30" s="73">
        <f t="shared" si="5"/>
        <v>46048</v>
      </c>
      <c r="H30" s="73">
        <f t="shared" si="6"/>
        <v>46054</v>
      </c>
      <c r="I30" t="str">
        <f t="shared" si="7"/>
        <v>Thursday</v>
      </c>
      <c r="J30" s="74">
        <f t="shared" si="8"/>
        <v>4</v>
      </c>
      <c r="K30" s="74" t="str">
        <f t="shared" si="9"/>
        <v>Jan-2026</v>
      </c>
    </row>
    <row r="31" spans="1:11">
      <c r="A31" s="73">
        <f t="shared" si="10"/>
        <v>46052</v>
      </c>
      <c r="B31" s="74">
        <f t="shared" si="0"/>
        <v>2026</v>
      </c>
      <c r="C31" s="74">
        <f t="shared" si="1"/>
        <v>1</v>
      </c>
      <c r="D31" t="str">
        <f t="shared" si="2"/>
        <v>January</v>
      </c>
      <c r="E31" s="74" t="str">
        <f t="shared" si="3"/>
        <v>Q1</v>
      </c>
      <c r="F31" s="74">
        <f t="shared" si="4"/>
        <v>5</v>
      </c>
      <c r="G31" s="73">
        <f t="shared" si="5"/>
        <v>46048</v>
      </c>
      <c r="H31" s="73">
        <f t="shared" si="6"/>
        <v>46054</v>
      </c>
      <c r="I31" t="str">
        <f t="shared" si="7"/>
        <v>Friday</v>
      </c>
      <c r="J31" s="74">
        <f t="shared" si="8"/>
        <v>5</v>
      </c>
      <c r="K31" s="74" t="str">
        <f t="shared" si="9"/>
        <v>Jan-2026</v>
      </c>
    </row>
    <row r="32" spans="1:11">
      <c r="A32" s="73">
        <f t="shared" si="10"/>
        <v>46053</v>
      </c>
      <c r="B32" s="74">
        <f t="shared" si="0"/>
        <v>2026</v>
      </c>
      <c r="C32" s="74">
        <f t="shared" si="1"/>
        <v>1</v>
      </c>
      <c r="D32" t="str">
        <f t="shared" si="2"/>
        <v>January</v>
      </c>
      <c r="E32" s="74" t="str">
        <f t="shared" si="3"/>
        <v>Q1</v>
      </c>
      <c r="F32" s="74">
        <f t="shared" si="4"/>
        <v>5</v>
      </c>
      <c r="G32" s="73">
        <f t="shared" si="5"/>
        <v>46048</v>
      </c>
      <c r="H32" s="73">
        <f t="shared" si="6"/>
        <v>46054</v>
      </c>
      <c r="I32" t="str">
        <f t="shared" si="7"/>
        <v>Saturday</v>
      </c>
      <c r="J32" s="74">
        <f t="shared" si="8"/>
        <v>6</v>
      </c>
      <c r="K32" s="74" t="str">
        <f t="shared" si="9"/>
        <v>Jan-2026</v>
      </c>
    </row>
    <row r="33" spans="1:11">
      <c r="A33" s="73">
        <f t="shared" si="10"/>
        <v>46054</v>
      </c>
      <c r="B33" s="74">
        <f t="shared" si="0"/>
        <v>2026</v>
      </c>
      <c r="C33" s="74">
        <f t="shared" si="1"/>
        <v>2</v>
      </c>
      <c r="D33" t="str">
        <f t="shared" si="2"/>
        <v>February</v>
      </c>
      <c r="E33" s="74" t="str">
        <f t="shared" si="3"/>
        <v>Q1</v>
      </c>
      <c r="F33" s="74">
        <f t="shared" si="4"/>
        <v>5</v>
      </c>
      <c r="G33" s="73">
        <f t="shared" si="5"/>
        <v>46048</v>
      </c>
      <c r="H33" s="73">
        <f t="shared" si="6"/>
        <v>46054</v>
      </c>
      <c r="I33" t="str">
        <f t="shared" si="7"/>
        <v>Sunday</v>
      </c>
      <c r="J33" s="74">
        <f t="shared" si="8"/>
        <v>7</v>
      </c>
      <c r="K33" s="74" t="str">
        <f t="shared" si="9"/>
        <v>Feb-2026</v>
      </c>
    </row>
    <row r="34" spans="1:11">
      <c r="A34" s="73">
        <f t="shared" si="10"/>
        <v>46055</v>
      </c>
      <c r="B34" s="74">
        <f t="shared" si="0"/>
        <v>2026</v>
      </c>
      <c r="C34" s="74">
        <f t="shared" si="1"/>
        <v>2</v>
      </c>
      <c r="D34" t="str">
        <f t="shared" si="2"/>
        <v>February</v>
      </c>
      <c r="E34" s="74" t="str">
        <f t="shared" si="3"/>
        <v>Q1</v>
      </c>
      <c r="F34" s="74">
        <f t="shared" si="4"/>
        <v>6</v>
      </c>
      <c r="G34" s="73">
        <f t="shared" si="5"/>
        <v>46055</v>
      </c>
      <c r="H34" s="73">
        <f t="shared" si="6"/>
        <v>46061</v>
      </c>
      <c r="I34" t="str">
        <f t="shared" si="7"/>
        <v>Monday</v>
      </c>
      <c r="J34" s="74">
        <f t="shared" si="8"/>
        <v>1</v>
      </c>
      <c r="K34" s="74" t="str">
        <f t="shared" si="9"/>
        <v>Feb-2026</v>
      </c>
    </row>
    <row r="35" spans="1:11">
      <c r="A35" s="73">
        <f t="shared" si="10"/>
        <v>46056</v>
      </c>
      <c r="B35" s="74">
        <f t="shared" si="0"/>
        <v>2026</v>
      </c>
      <c r="C35" s="74">
        <f t="shared" si="1"/>
        <v>2</v>
      </c>
      <c r="D35" t="str">
        <f t="shared" si="2"/>
        <v>February</v>
      </c>
      <c r="E35" s="74" t="str">
        <f t="shared" si="3"/>
        <v>Q1</v>
      </c>
      <c r="F35" s="74">
        <f t="shared" si="4"/>
        <v>6</v>
      </c>
      <c r="G35" s="73">
        <f t="shared" si="5"/>
        <v>46055</v>
      </c>
      <c r="H35" s="73">
        <f t="shared" si="6"/>
        <v>46061</v>
      </c>
      <c r="I35" t="str">
        <f t="shared" si="7"/>
        <v>Tuesday</v>
      </c>
      <c r="J35" s="74">
        <f t="shared" si="8"/>
        <v>2</v>
      </c>
      <c r="K35" s="74" t="str">
        <f t="shared" si="9"/>
        <v>Feb-2026</v>
      </c>
    </row>
    <row r="36" spans="1:11">
      <c r="A36" s="73">
        <f t="shared" si="10"/>
        <v>46057</v>
      </c>
      <c r="B36" s="74">
        <f t="shared" si="0"/>
        <v>2026</v>
      </c>
      <c r="C36" s="74">
        <f t="shared" si="1"/>
        <v>2</v>
      </c>
      <c r="D36" t="str">
        <f t="shared" si="2"/>
        <v>February</v>
      </c>
      <c r="E36" s="74" t="str">
        <f t="shared" si="3"/>
        <v>Q1</v>
      </c>
      <c r="F36" s="74">
        <f t="shared" si="4"/>
        <v>6</v>
      </c>
      <c r="G36" s="73">
        <f t="shared" si="5"/>
        <v>46055</v>
      </c>
      <c r="H36" s="73">
        <f t="shared" si="6"/>
        <v>46061</v>
      </c>
      <c r="I36" t="str">
        <f t="shared" si="7"/>
        <v>Wednesday</v>
      </c>
      <c r="J36" s="74">
        <f t="shared" si="8"/>
        <v>3</v>
      </c>
      <c r="K36" s="74" t="str">
        <f t="shared" si="9"/>
        <v>Feb-2026</v>
      </c>
    </row>
    <row r="37" spans="1:11">
      <c r="A37" s="73">
        <f t="shared" si="10"/>
        <v>46058</v>
      </c>
      <c r="B37" s="74">
        <f t="shared" si="0"/>
        <v>2026</v>
      </c>
      <c r="C37" s="74">
        <f t="shared" si="1"/>
        <v>2</v>
      </c>
      <c r="D37" t="str">
        <f t="shared" si="2"/>
        <v>February</v>
      </c>
      <c r="E37" s="74" t="str">
        <f t="shared" si="3"/>
        <v>Q1</v>
      </c>
      <c r="F37" s="74">
        <f t="shared" si="4"/>
        <v>6</v>
      </c>
      <c r="G37" s="73">
        <f t="shared" si="5"/>
        <v>46055</v>
      </c>
      <c r="H37" s="73">
        <f t="shared" si="6"/>
        <v>46061</v>
      </c>
      <c r="I37" t="str">
        <f t="shared" si="7"/>
        <v>Thursday</v>
      </c>
      <c r="J37" s="74">
        <f t="shared" si="8"/>
        <v>4</v>
      </c>
      <c r="K37" s="74" t="str">
        <f t="shared" si="9"/>
        <v>Feb-2026</v>
      </c>
    </row>
    <row r="38" spans="1:11">
      <c r="A38" s="73">
        <f t="shared" si="10"/>
        <v>46059</v>
      </c>
      <c r="B38" s="74">
        <f t="shared" si="0"/>
        <v>2026</v>
      </c>
      <c r="C38" s="74">
        <f t="shared" si="1"/>
        <v>2</v>
      </c>
      <c r="D38" t="str">
        <f t="shared" si="2"/>
        <v>February</v>
      </c>
      <c r="E38" s="74" t="str">
        <f t="shared" si="3"/>
        <v>Q1</v>
      </c>
      <c r="F38" s="74">
        <f t="shared" si="4"/>
        <v>6</v>
      </c>
      <c r="G38" s="73">
        <f t="shared" si="5"/>
        <v>46055</v>
      </c>
      <c r="H38" s="73">
        <f t="shared" si="6"/>
        <v>46061</v>
      </c>
      <c r="I38" t="str">
        <f t="shared" si="7"/>
        <v>Friday</v>
      </c>
      <c r="J38" s="74">
        <f t="shared" si="8"/>
        <v>5</v>
      </c>
      <c r="K38" s="74" t="str">
        <f t="shared" si="9"/>
        <v>Feb-2026</v>
      </c>
    </row>
    <row r="39" spans="1:11">
      <c r="A39" s="73">
        <f t="shared" si="10"/>
        <v>46060</v>
      </c>
      <c r="B39" s="74">
        <f t="shared" si="0"/>
        <v>2026</v>
      </c>
      <c r="C39" s="74">
        <f t="shared" si="1"/>
        <v>2</v>
      </c>
      <c r="D39" t="str">
        <f t="shared" si="2"/>
        <v>February</v>
      </c>
      <c r="E39" s="74" t="str">
        <f t="shared" si="3"/>
        <v>Q1</v>
      </c>
      <c r="F39" s="74">
        <f t="shared" si="4"/>
        <v>6</v>
      </c>
      <c r="G39" s="73">
        <f t="shared" si="5"/>
        <v>46055</v>
      </c>
      <c r="H39" s="73">
        <f t="shared" si="6"/>
        <v>46061</v>
      </c>
      <c r="I39" t="str">
        <f t="shared" si="7"/>
        <v>Saturday</v>
      </c>
      <c r="J39" s="74">
        <f t="shared" si="8"/>
        <v>6</v>
      </c>
      <c r="K39" s="74" t="str">
        <f t="shared" si="9"/>
        <v>Feb-2026</v>
      </c>
    </row>
    <row r="40" spans="1:11">
      <c r="A40" s="73">
        <f t="shared" si="10"/>
        <v>46061</v>
      </c>
      <c r="B40" s="74">
        <f t="shared" si="0"/>
        <v>2026</v>
      </c>
      <c r="C40" s="74">
        <f t="shared" si="1"/>
        <v>2</v>
      </c>
      <c r="D40" t="str">
        <f t="shared" si="2"/>
        <v>February</v>
      </c>
      <c r="E40" s="74" t="str">
        <f t="shared" si="3"/>
        <v>Q1</v>
      </c>
      <c r="F40" s="74">
        <f t="shared" si="4"/>
        <v>6</v>
      </c>
      <c r="G40" s="73">
        <f t="shared" si="5"/>
        <v>46055</v>
      </c>
      <c r="H40" s="73">
        <f t="shared" si="6"/>
        <v>46061</v>
      </c>
      <c r="I40" t="str">
        <f t="shared" si="7"/>
        <v>Sunday</v>
      </c>
      <c r="J40" s="74">
        <f t="shared" si="8"/>
        <v>7</v>
      </c>
      <c r="K40" s="74" t="str">
        <f t="shared" si="9"/>
        <v>Feb-2026</v>
      </c>
    </row>
    <row r="41" spans="1:11">
      <c r="A41" s="73">
        <f t="shared" si="10"/>
        <v>46062</v>
      </c>
      <c r="B41" s="74">
        <f t="shared" si="0"/>
        <v>2026</v>
      </c>
      <c r="C41" s="74">
        <f t="shared" si="1"/>
        <v>2</v>
      </c>
      <c r="D41" t="str">
        <f t="shared" si="2"/>
        <v>February</v>
      </c>
      <c r="E41" s="74" t="str">
        <f t="shared" si="3"/>
        <v>Q1</v>
      </c>
      <c r="F41" s="74">
        <f t="shared" si="4"/>
        <v>7</v>
      </c>
      <c r="G41" s="73">
        <f t="shared" si="5"/>
        <v>46062</v>
      </c>
      <c r="H41" s="73">
        <f t="shared" si="6"/>
        <v>46068</v>
      </c>
      <c r="I41" t="str">
        <f t="shared" si="7"/>
        <v>Monday</v>
      </c>
      <c r="J41" s="74">
        <f t="shared" si="8"/>
        <v>1</v>
      </c>
      <c r="K41" s="74" t="str">
        <f t="shared" si="9"/>
        <v>Feb-2026</v>
      </c>
    </row>
    <row r="42" spans="1:11">
      <c r="A42" s="73">
        <f t="shared" si="10"/>
        <v>46063</v>
      </c>
      <c r="B42" s="74">
        <f t="shared" si="0"/>
        <v>2026</v>
      </c>
      <c r="C42" s="74">
        <f t="shared" si="1"/>
        <v>2</v>
      </c>
      <c r="D42" t="str">
        <f t="shared" si="2"/>
        <v>February</v>
      </c>
      <c r="E42" s="74" t="str">
        <f t="shared" si="3"/>
        <v>Q1</v>
      </c>
      <c r="F42" s="74">
        <f t="shared" si="4"/>
        <v>7</v>
      </c>
      <c r="G42" s="73">
        <f t="shared" si="5"/>
        <v>46062</v>
      </c>
      <c r="H42" s="73">
        <f t="shared" si="6"/>
        <v>46068</v>
      </c>
      <c r="I42" t="str">
        <f t="shared" si="7"/>
        <v>Tuesday</v>
      </c>
      <c r="J42" s="74">
        <f t="shared" si="8"/>
        <v>2</v>
      </c>
      <c r="K42" s="74" t="str">
        <f t="shared" si="9"/>
        <v>Feb-2026</v>
      </c>
    </row>
    <row r="43" spans="1:11">
      <c r="A43" s="73">
        <f t="shared" si="10"/>
        <v>46064</v>
      </c>
      <c r="B43" s="74">
        <f t="shared" si="0"/>
        <v>2026</v>
      </c>
      <c r="C43" s="74">
        <f t="shared" si="1"/>
        <v>2</v>
      </c>
      <c r="D43" t="str">
        <f t="shared" si="2"/>
        <v>February</v>
      </c>
      <c r="E43" s="74" t="str">
        <f t="shared" si="3"/>
        <v>Q1</v>
      </c>
      <c r="F43" s="74">
        <f t="shared" si="4"/>
        <v>7</v>
      </c>
      <c r="G43" s="73">
        <f t="shared" si="5"/>
        <v>46062</v>
      </c>
      <c r="H43" s="73">
        <f t="shared" si="6"/>
        <v>46068</v>
      </c>
      <c r="I43" t="str">
        <f t="shared" si="7"/>
        <v>Wednesday</v>
      </c>
      <c r="J43" s="74">
        <f t="shared" si="8"/>
        <v>3</v>
      </c>
      <c r="K43" s="74" t="str">
        <f t="shared" si="9"/>
        <v>Feb-2026</v>
      </c>
    </row>
    <row r="44" spans="1:11">
      <c r="A44" s="73">
        <f t="shared" si="10"/>
        <v>46065</v>
      </c>
      <c r="B44" s="74">
        <f t="shared" si="0"/>
        <v>2026</v>
      </c>
      <c r="C44" s="74">
        <f t="shared" si="1"/>
        <v>2</v>
      </c>
      <c r="D44" t="str">
        <f t="shared" si="2"/>
        <v>February</v>
      </c>
      <c r="E44" s="74" t="str">
        <f t="shared" si="3"/>
        <v>Q1</v>
      </c>
      <c r="F44" s="74">
        <f t="shared" si="4"/>
        <v>7</v>
      </c>
      <c r="G44" s="73">
        <f t="shared" si="5"/>
        <v>46062</v>
      </c>
      <c r="H44" s="73">
        <f t="shared" si="6"/>
        <v>46068</v>
      </c>
      <c r="I44" t="str">
        <f t="shared" si="7"/>
        <v>Thursday</v>
      </c>
      <c r="J44" s="74">
        <f t="shared" si="8"/>
        <v>4</v>
      </c>
      <c r="K44" s="74" t="str">
        <f t="shared" si="9"/>
        <v>Feb-2026</v>
      </c>
    </row>
    <row r="45" spans="1:11">
      <c r="A45" s="73">
        <f t="shared" si="10"/>
        <v>46066</v>
      </c>
      <c r="B45" s="74">
        <f t="shared" si="0"/>
        <v>2026</v>
      </c>
      <c r="C45" s="74">
        <f t="shared" si="1"/>
        <v>2</v>
      </c>
      <c r="D45" t="str">
        <f t="shared" si="2"/>
        <v>February</v>
      </c>
      <c r="E45" s="74" t="str">
        <f t="shared" si="3"/>
        <v>Q1</v>
      </c>
      <c r="F45" s="74">
        <f t="shared" si="4"/>
        <v>7</v>
      </c>
      <c r="G45" s="73">
        <f t="shared" si="5"/>
        <v>46062</v>
      </c>
      <c r="H45" s="73">
        <f t="shared" si="6"/>
        <v>46068</v>
      </c>
      <c r="I45" t="str">
        <f t="shared" si="7"/>
        <v>Friday</v>
      </c>
      <c r="J45" s="74">
        <f t="shared" si="8"/>
        <v>5</v>
      </c>
      <c r="K45" s="74" t="str">
        <f t="shared" si="9"/>
        <v>Feb-2026</v>
      </c>
    </row>
    <row r="46" spans="1:11">
      <c r="A46" s="73">
        <f t="shared" si="10"/>
        <v>46067</v>
      </c>
      <c r="B46" s="74">
        <f t="shared" si="0"/>
        <v>2026</v>
      </c>
      <c r="C46" s="74">
        <f t="shared" si="1"/>
        <v>2</v>
      </c>
      <c r="D46" t="str">
        <f t="shared" si="2"/>
        <v>February</v>
      </c>
      <c r="E46" s="74" t="str">
        <f t="shared" si="3"/>
        <v>Q1</v>
      </c>
      <c r="F46" s="74">
        <f t="shared" si="4"/>
        <v>7</v>
      </c>
      <c r="G46" s="73">
        <f t="shared" si="5"/>
        <v>46062</v>
      </c>
      <c r="H46" s="73">
        <f t="shared" si="6"/>
        <v>46068</v>
      </c>
      <c r="I46" t="str">
        <f t="shared" si="7"/>
        <v>Saturday</v>
      </c>
      <c r="J46" s="74">
        <f t="shared" si="8"/>
        <v>6</v>
      </c>
      <c r="K46" s="74" t="str">
        <f t="shared" si="9"/>
        <v>Feb-2026</v>
      </c>
    </row>
    <row r="47" spans="1:11">
      <c r="A47" s="73">
        <f t="shared" si="10"/>
        <v>46068</v>
      </c>
      <c r="B47" s="74">
        <f t="shared" si="0"/>
        <v>2026</v>
      </c>
      <c r="C47" s="74">
        <f t="shared" si="1"/>
        <v>2</v>
      </c>
      <c r="D47" t="str">
        <f t="shared" si="2"/>
        <v>February</v>
      </c>
      <c r="E47" s="74" t="str">
        <f t="shared" si="3"/>
        <v>Q1</v>
      </c>
      <c r="F47" s="74">
        <f t="shared" si="4"/>
        <v>7</v>
      </c>
      <c r="G47" s="73">
        <f t="shared" si="5"/>
        <v>46062</v>
      </c>
      <c r="H47" s="73">
        <f t="shared" si="6"/>
        <v>46068</v>
      </c>
      <c r="I47" t="str">
        <f t="shared" si="7"/>
        <v>Sunday</v>
      </c>
      <c r="J47" s="74">
        <f t="shared" si="8"/>
        <v>7</v>
      </c>
      <c r="K47" s="74" t="str">
        <f t="shared" si="9"/>
        <v>Feb-2026</v>
      </c>
    </row>
    <row r="48" spans="1:11">
      <c r="A48" s="73">
        <f t="shared" si="10"/>
        <v>46069</v>
      </c>
      <c r="B48" s="74">
        <f t="shared" si="0"/>
        <v>2026</v>
      </c>
      <c r="C48" s="74">
        <f t="shared" si="1"/>
        <v>2</v>
      </c>
      <c r="D48" t="str">
        <f t="shared" si="2"/>
        <v>February</v>
      </c>
      <c r="E48" s="74" t="str">
        <f t="shared" si="3"/>
        <v>Q1</v>
      </c>
      <c r="F48" s="74">
        <f t="shared" si="4"/>
        <v>8</v>
      </c>
      <c r="G48" s="73">
        <f t="shared" si="5"/>
        <v>46069</v>
      </c>
      <c r="H48" s="73">
        <f t="shared" si="6"/>
        <v>46075</v>
      </c>
      <c r="I48" t="str">
        <f t="shared" si="7"/>
        <v>Monday</v>
      </c>
      <c r="J48" s="74">
        <f t="shared" si="8"/>
        <v>1</v>
      </c>
      <c r="K48" s="74" t="str">
        <f t="shared" si="9"/>
        <v>Feb-2026</v>
      </c>
    </row>
    <row r="49" spans="1:11">
      <c r="A49" s="73">
        <f t="shared" si="10"/>
        <v>46070</v>
      </c>
      <c r="B49" s="74">
        <f t="shared" si="0"/>
        <v>2026</v>
      </c>
      <c r="C49" s="74">
        <f t="shared" si="1"/>
        <v>2</v>
      </c>
      <c r="D49" t="str">
        <f t="shared" si="2"/>
        <v>February</v>
      </c>
      <c r="E49" s="74" t="str">
        <f t="shared" si="3"/>
        <v>Q1</v>
      </c>
      <c r="F49" s="74">
        <f t="shared" si="4"/>
        <v>8</v>
      </c>
      <c r="G49" s="73">
        <f t="shared" si="5"/>
        <v>46069</v>
      </c>
      <c r="H49" s="73">
        <f t="shared" si="6"/>
        <v>46075</v>
      </c>
      <c r="I49" t="str">
        <f t="shared" si="7"/>
        <v>Tuesday</v>
      </c>
      <c r="J49" s="74">
        <f t="shared" si="8"/>
        <v>2</v>
      </c>
      <c r="K49" s="74" t="str">
        <f t="shared" si="9"/>
        <v>Feb-2026</v>
      </c>
    </row>
    <row r="50" spans="1:11">
      <c r="A50" s="73">
        <f t="shared" si="10"/>
        <v>46071</v>
      </c>
      <c r="B50" s="74">
        <f t="shared" si="0"/>
        <v>2026</v>
      </c>
      <c r="C50" s="74">
        <f t="shared" si="1"/>
        <v>2</v>
      </c>
      <c r="D50" t="str">
        <f t="shared" si="2"/>
        <v>February</v>
      </c>
      <c r="E50" s="74" t="str">
        <f t="shared" si="3"/>
        <v>Q1</v>
      </c>
      <c r="F50" s="74">
        <f t="shared" si="4"/>
        <v>8</v>
      </c>
      <c r="G50" s="73">
        <f t="shared" si="5"/>
        <v>46069</v>
      </c>
      <c r="H50" s="73">
        <f t="shared" si="6"/>
        <v>46075</v>
      </c>
      <c r="I50" t="str">
        <f t="shared" si="7"/>
        <v>Wednesday</v>
      </c>
      <c r="J50" s="74">
        <f t="shared" si="8"/>
        <v>3</v>
      </c>
      <c r="K50" s="74" t="str">
        <f t="shared" si="9"/>
        <v>Feb-2026</v>
      </c>
    </row>
    <row r="51" spans="1:11">
      <c r="A51" s="73">
        <f t="shared" si="10"/>
        <v>46072</v>
      </c>
      <c r="B51" s="74">
        <f t="shared" si="0"/>
        <v>2026</v>
      </c>
      <c r="C51" s="74">
        <f t="shared" si="1"/>
        <v>2</v>
      </c>
      <c r="D51" t="str">
        <f t="shared" si="2"/>
        <v>February</v>
      </c>
      <c r="E51" s="74" t="str">
        <f t="shared" si="3"/>
        <v>Q1</v>
      </c>
      <c r="F51" s="74">
        <f t="shared" si="4"/>
        <v>8</v>
      </c>
      <c r="G51" s="73">
        <f t="shared" si="5"/>
        <v>46069</v>
      </c>
      <c r="H51" s="73">
        <f t="shared" si="6"/>
        <v>46075</v>
      </c>
      <c r="I51" t="str">
        <f t="shared" si="7"/>
        <v>Thursday</v>
      </c>
      <c r="J51" s="74">
        <f t="shared" si="8"/>
        <v>4</v>
      </c>
      <c r="K51" s="74" t="str">
        <f t="shared" si="9"/>
        <v>Feb-2026</v>
      </c>
    </row>
    <row r="52" spans="1:11">
      <c r="A52" s="73">
        <f t="shared" si="10"/>
        <v>46073</v>
      </c>
      <c r="B52" s="74">
        <f t="shared" si="0"/>
        <v>2026</v>
      </c>
      <c r="C52" s="74">
        <f t="shared" si="1"/>
        <v>2</v>
      </c>
      <c r="D52" t="str">
        <f t="shared" si="2"/>
        <v>February</v>
      </c>
      <c r="E52" s="74" t="str">
        <f t="shared" si="3"/>
        <v>Q1</v>
      </c>
      <c r="F52" s="74">
        <f t="shared" si="4"/>
        <v>8</v>
      </c>
      <c r="G52" s="73">
        <f t="shared" si="5"/>
        <v>46069</v>
      </c>
      <c r="H52" s="73">
        <f t="shared" si="6"/>
        <v>46075</v>
      </c>
      <c r="I52" t="str">
        <f t="shared" si="7"/>
        <v>Friday</v>
      </c>
      <c r="J52" s="74">
        <f t="shared" si="8"/>
        <v>5</v>
      </c>
      <c r="K52" s="74" t="str">
        <f t="shared" si="9"/>
        <v>Feb-2026</v>
      </c>
    </row>
    <row r="53" spans="1:11">
      <c r="A53" s="73">
        <f t="shared" si="10"/>
        <v>46074</v>
      </c>
      <c r="B53" s="74">
        <f t="shared" si="0"/>
        <v>2026</v>
      </c>
      <c r="C53" s="74">
        <f t="shared" si="1"/>
        <v>2</v>
      </c>
      <c r="D53" t="str">
        <f t="shared" si="2"/>
        <v>February</v>
      </c>
      <c r="E53" s="74" t="str">
        <f t="shared" si="3"/>
        <v>Q1</v>
      </c>
      <c r="F53" s="74">
        <f t="shared" si="4"/>
        <v>8</v>
      </c>
      <c r="G53" s="73">
        <f t="shared" si="5"/>
        <v>46069</v>
      </c>
      <c r="H53" s="73">
        <f t="shared" si="6"/>
        <v>46075</v>
      </c>
      <c r="I53" t="str">
        <f t="shared" si="7"/>
        <v>Saturday</v>
      </c>
      <c r="J53" s="74">
        <f t="shared" si="8"/>
        <v>6</v>
      </c>
      <c r="K53" s="74" t="str">
        <f t="shared" si="9"/>
        <v>Feb-2026</v>
      </c>
    </row>
    <row r="54" spans="1:11">
      <c r="A54" s="73">
        <f t="shared" si="10"/>
        <v>46075</v>
      </c>
      <c r="B54" s="74">
        <f t="shared" si="0"/>
        <v>2026</v>
      </c>
      <c r="C54" s="74">
        <f t="shared" si="1"/>
        <v>2</v>
      </c>
      <c r="D54" t="str">
        <f t="shared" si="2"/>
        <v>February</v>
      </c>
      <c r="E54" s="74" t="str">
        <f t="shared" si="3"/>
        <v>Q1</v>
      </c>
      <c r="F54" s="74">
        <f t="shared" si="4"/>
        <v>8</v>
      </c>
      <c r="G54" s="73">
        <f t="shared" si="5"/>
        <v>46069</v>
      </c>
      <c r="H54" s="73">
        <f t="shared" si="6"/>
        <v>46075</v>
      </c>
      <c r="I54" t="str">
        <f t="shared" si="7"/>
        <v>Sunday</v>
      </c>
      <c r="J54" s="74">
        <f t="shared" si="8"/>
        <v>7</v>
      </c>
      <c r="K54" s="74" t="str">
        <f t="shared" si="9"/>
        <v>Feb-2026</v>
      </c>
    </row>
    <row r="55" spans="1:11">
      <c r="A55" s="73">
        <f t="shared" si="10"/>
        <v>46076</v>
      </c>
      <c r="B55" s="74">
        <f t="shared" si="0"/>
        <v>2026</v>
      </c>
      <c r="C55" s="74">
        <f t="shared" si="1"/>
        <v>2</v>
      </c>
      <c r="D55" t="str">
        <f t="shared" si="2"/>
        <v>February</v>
      </c>
      <c r="E55" s="74" t="str">
        <f t="shared" si="3"/>
        <v>Q1</v>
      </c>
      <c r="F55" s="74">
        <f t="shared" si="4"/>
        <v>9</v>
      </c>
      <c r="G55" s="73">
        <f t="shared" si="5"/>
        <v>46076</v>
      </c>
      <c r="H55" s="73">
        <f t="shared" si="6"/>
        <v>46082</v>
      </c>
      <c r="I55" t="str">
        <f t="shared" si="7"/>
        <v>Monday</v>
      </c>
      <c r="J55" s="74">
        <f t="shared" si="8"/>
        <v>1</v>
      </c>
      <c r="K55" s="74" t="str">
        <f t="shared" si="9"/>
        <v>Feb-2026</v>
      </c>
    </row>
    <row r="56" spans="1:11">
      <c r="A56" s="73">
        <f t="shared" si="10"/>
        <v>46077</v>
      </c>
      <c r="B56" s="74">
        <f t="shared" si="0"/>
        <v>2026</v>
      </c>
      <c r="C56" s="74">
        <f t="shared" si="1"/>
        <v>2</v>
      </c>
      <c r="D56" t="str">
        <f t="shared" si="2"/>
        <v>February</v>
      </c>
      <c r="E56" s="74" t="str">
        <f t="shared" si="3"/>
        <v>Q1</v>
      </c>
      <c r="F56" s="74">
        <f t="shared" si="4"/>
        <v>9</v>
      </c>
      <c r="G56" s="73">
        <f t="shared" si="5"/>
        <v>46076</v>
      </c>
      <c r="H56" s="73">
        <f t="shared" si="6"/>
        <v>46082</v>
      </c>
      <c r="I56" t="str">
        <f t="shared" si="7"/>
        <v>Tuesday</v>
      </c>
      <c r="J56" s="74">
        <f t="shared" si="8"/>
        <v>2</v>
      </c>
      <c r="K56" s="74" t="str">
        <f t="shared" si="9"/>
        <v>Feb-2026</v>
      </c>
    </row>
    <row r="57" spans="1:11">
      <c r="A57" s="73">
        <f t="shared" si="10"/>
        <v>46078</v>
      </c>
      <c r="B57" s="74">
        <f t="shared" si="0"/>
        <v>2026</v>
      </c>
      <c r="C57" s="74">
        <f t="shared" si="1"/>
        <v>2</v>
      </c>
      <c r="D57" t="str">
        <f t="shared" si="2"/>
        <v>February</v>
      </c>
      <c r="E57" s="74" t="str">
        <f t="shared" si="3"/>
        <v>Q1</v>
      </c>
      <c r="F57" s="74">
        <f t="shared" si="4"/>
        <v>9</v>
      </c>
      <c r="G57" s="73">
        <f t="shared" si="5"/>
        <v>46076</v>
      </c>
      <c r="H57" s="73">
        <f t="shared" si="6"/>
        <v>46082</v>
      </c>
      <c r="I57" t="str">
        <f t="shared" si="7"/>
        <v>Wednesday</v>
      </c>
      <c r="J57" s="74">
        <f t="shared" si="8"/>
        <v>3</v>
      </c>
      <c r="K57" s="74" t="str">
        <f t="shared" si="9"/>
        <v>Feb-2026</v>
      </c>
    </row>
    <row r="58" spans="1:11">
      <c r="A58" s="73">
        <f t="shared" si="10"/>
        <v>46079</v>
      </c>
      <c r="B58" s="74">
        <f t="shared" si="0"/>
        <v>2026</v>
      </c>
      <c r="C58" s="74">
        <f t="shared" si="1"/>
        <v>2</v>
      </c>
      <c r="D58" t="str">
        <f t="shared" si="2"/>
        <v>February</v>
      </c>
      <c r="E58" s="74" t="str">
        <f t="shared" si="3"/>
        <v>Q1</v>
      </c>
      <c r="F58" s="74">
        <f t="shared" si="4"/>
        <v>9</v>
      </c>
      <c r="G58" s="73">
        <f t="shared" si="5"/>
        <v>46076</v>
      </c>
      <c r="H58" s="73">
        <f t="shared" si="6"/>
        <v>46082</v>
      </c>
      <c r="I58" t="str">
        <f t="shared" si="7"/>
        <v>Thursday</v>
      </c>
      <c r="J58" s="74">
        <f t="shared" si="8"/>
        <v>4</v>
      </c>
      <c r="K58" s="74" t="str">
        <f t="shared" si="9"/>
        <v>Feb-2026</v>
      </c>
    </row>
    <row r="59" spans="1:11">
      <c r="A59" s="73">
        <f t="shared" si="10"/>
        <v>46080</v>
      </c>
      <c r="B59" s="74">
        <f t="shared" si="0"/>
        <v>2026</v>
      </c>
      <c r="C59" s="74">
        <f t="shared" si="1"/>
        <v>2</v>
      </c>
      <c r="D59" t="str">
        <f t="shared" si="2"/>
        <v>February</v>
      </c>
      <c r="E59" s="74" t="str">
        <f t="shared" si="3"/>
        <v>Q1</v>
      </c>
      <c r="F59" s="74">
        <f t="shared" si="4"/>
        <v>9</v>
      </c>
      <c r="G59" s="73">
        <f t="shared" si="5"/>
        <v>46076</v>
      </c>
      <c r="H59" s="73">
        <f t="shared" si="6"/>
        <v>46082</v>
      </c>
      <c r="I59" t="str">
        <f t="shared" si="7"/>
        <v>Friday</v>
      </c>
      <c r="J59" s="74">
        <f t="shared" si="8"/>
        <v>5</v>
      </c>
      <c r="K59" s="74" t="str">
        <f t="shared" si="9"/>
        <v>Feb-2026</v>
      </c>
    </row>
    <row r="60" spans="1:11">
      <c r="A60" s="73">
        <f t="shared" si="10"/>
        <v>46081</v>
      </c>
      <c r="B60" s="74">
        <f t="shared" si="0"/>
        <v>2026</v>
      </c>
      <c r="C60" s="74">
        <f t="shared" si="1"/>
        <v>2</v>
      </c>
      <c r="D60" t="str">
        <f t="shared" si="2"/>
        <v>February</v>
      </c>
      <c r="E60" s="74" t="str">
        <f t="shared" si="3"/>
        <v>Q1</v>
      </c>
      <c r="F60" s="74">
        <f t="shared" si="4"/>
        <v>9</v>
      </c>
      <c r="G60" s="73">
        <f t="shared" si="5"/>
        <v>46076</v>
      </c>
      <c r="H60" s="73">
        <f t="shared" si="6"/>
        <v>46082</v>
      </c>
      <c r="I60" t="str">
        <f t="shared" si="7"/>
        <v>Saturday</v>
      </c>
      <c r="J60" s="74">
        <f t="shared" si="8"/>
        <v>6</v>
      </c>
      <c r="K60" s="74" t="str">
        <f t="shared" si="9"/>
        <v>Feb-2026</v>
      </c>
    </row>
    <row r="61" spans="1:11">
      <c r="A61" s="73">
        <f t="shared" si="10"/>
        <v>46082</v>
      </c>
      <c r="B61" s="74">
        <f t="shared" si="0"/>
        <v>2026</v>
      </c>
      <c r="C61" s="74">
        <f t="shared" si="1"/>
        <v>3</v>
      </c>
      <c r="D61" t="str">
        <f t="shared" si="2"/>
        <v>March</v>
      </c>
      <c r="E61" s="74" t="str">
        <f t="shared" si="3"/>
        <v>Q1</v>
      </c>
      <c r="F61" s="74">
        <f t="shared" si="4"/>
        <v>9</v>
      </c>
      <c r="G61" s="73">
        <f t="shared" si="5"/>
        <v>46076</v>
      </c>
      <c r="H61" s="73">
        <f t="shared" si="6"/>
        <v>46082</v>
      </c>
      <c r="I61" t="str">
        <f t="shared" si="7"/>
        <v>Sunday</v>
      </c>
      <c r="J61" s="74">
        <f t="shared" si="8"/>
        <v>7</v>
      </c>
      <c r="K61" s="74" t="str">
        <f t="shared" si="9"/>
        <v>Mar-2026</v>
      </c>
    </row>
    <row r="62" spans="1:11">
      <c r="A62" s="73">
        <f t="shared" si="10"/>
        <v>46083</v>
      </c>
      <c r="B62" s="74">
        <f t="shared" si="0"/>
        <v>2026</v>
      </c>
      <c r="C62" s="74">
        <f t="shared" si="1"/>
        <v>3</v>
      </c>
      <c r="D62" t="str">
        <f t="shared" si="2"/>
        <v>March</v>
      </c>
      <c r="E62" s="74" t="str">
        <f t="shared" si="3"/>
        <v>Q1</v>
      </c>
      <c r="F62" s="74">
        <f t="shared" si="4"/>
        <v>10</v>
      </c>
      <c r="G62" s="73">
        <f t="shared" si="5"/>
        <v>46083</v>
      </c>
      <c r="H62" s="73">
        <f t="shared" si="6"/>
        <v>46089</v>
      </c>
      <c r="I62" t="str">
        <f t="shared" si="7"/>
        <v>Monday</v>
      </c>
      <c r="J62" s="74">
        <f t="shared" si="8"/>
        <v>1</v>
      </c>
      <c r="K62" s="74" t="str">
        <f t="shared" si="9"/>
        <v>Mar-2026</v>
      </c>
    </row>
    <row r="63" spans="1:11">
      <c r="A63" s="73">
        <f t="shared" si="10"/>
        <v>46084</v>
      </c>
      <c r="B63" s="74">
        <f t="shared" si="0"/>
        <v>2026</v>
      </c>
      <c r="C63" s="74">
        <f t="shared" si="1"/>
        <v>3</v>
      </c>
      <c r="D63" t="str">
        <f t="shared" si="2"/>
        <v>March</v>
      </c>
      <c r="E63" s="74" t="str">
        <f t="shared" si="3"/>
        <v>Q1</v>
      </c>
      <c r="F63" s="74">
        <f t="shared" si="4"/>
        <v>10</v>
      </c>
      <c r="G63" s="73">
        <f t="shared" si="5"/>
        <v>46083</v>
      </c>
      <c r="H63" s="73">
        <f t="shared" si="6"/>
        <v>46089</v>
      </c>
      <c r="I63" t="str">
        <f t="shared" si="7"/>
        <v>Tuesday</v>
      </c>
      <c r="J63" s="74">
        <f t="shared" si="8"/>
        <v>2</v>
      </c>
      <c r="K63" s="74" t="str">
        <f t="shared" si="9"/>
        <v>Mar-2026</v>
      </c>
    </row>
    <row r="64" spans="1:11">
      <c r="A64" s="73">
        <f t="shared" si="10"/>
        <v>46085</v>
      </c>
      <c r="B64" s="74">
        <f t="shared" si="0"/>
        <v>2026</v>
      </c>
      <c r="C64" s="74">
        <f t="shared" si="1"/>
        <v>3</v>
      </c>
      <c r="D64" t="str">
        <f t="shared" si="2"/>
        <v>March</v>
      </c>
      <c r="E64" s="74" t="str">
        <f t="shared" si="3"/>
        <v>Q1</v>
      </c>
      <c r="F64" s="74">
        <f t="shared" si="4"/>
        <v>10</v>
      </c>
      <c r="G64" s="73">
        <f t="shared" si="5"/>
        <v>46083</v>
      </c>
      <c r="H64" s="73">
        <f t="shared" si="6"/>
        <v>46089</v>
      </c>
      <c r="I64" t="str">
        <f t="shared" si="7"/>
        <v>Wednesday</v>
      </c>
      <c r="J64" s="74">
        <f t="shared" si="8"/>
        <v>3</v>
      </c>
      <c r="K64" s="74" t="str">
        <f t="shared" si="9"/>
        <v>Mar-2026</v>
      </c>
    </row>
    <row r="65" spans="1:11">
      <c r="A65" s="73">
        <f t="shared" si="10"/>
        <v>46086</v>
      </c>
      <c r="B65" s="74">
        <f t="shared" si="0"/>
        <v>2026</v>
      </c>
      <c r="C65" s="74">
        <f t="shared" si="1"/>
        <v>3</v>
      </c>
      <c r="D65" t="str">
        <f t="shared" si="2"/>
        <v>March</v>
      </c>
      <c r="E65" s="74" t="str">
        <f t="shared" si="3"/>
        <v>Q1</v>
      </c>
      <c r="F65" s="74">
        <f t="shared" si="4"/>
        <v>10</v>
      </c>
      <c r="G65" s="73">
        <f t="shared" si="5"/>
        <v>46083</v>
      </c>
      <c r="H65" s="73">
        <f t="shared" si="6"/>
        <v>46089</v>
      </c>
      <c r="I65" t="str">
        <f t="shared" si="7"/>
        <v>Thursday</v>
      </c>
      <c r="J65" s="74">
        <f t="shared" si="8"/>
        <v>4</v>
      </c>
      <c r="K65" s="74" t="str">
        <f t="shared" si="9"/>
        <v>Mar-2026</v>
      </c>
    </row>
    <row r="66" spans="1:11">
      <c r="A66" s="73">
        <f t="shared" si="10"/>
        <v>46087</v>
      </c>
      <c r="B66" s="74">
        <f t="shared" si="0"/>
        <v>2026</v>
      </c>
      <c r="C66" s="74">
        <f t="shared" si="1"/>
        <v>3</v>
      </c>
      <c r="D66" t="str">
        <f t="shared" si="2"/>
        <v>March</v>
      </c>
      <c r="E66" s="74" t="str">
        <f t="shared" si="3"/>
        <v>Q1</v>
      </c>
      <c r="F66" s="74">
        <f t="shared" si="4"/>
        <v>10</v>
      </c>
      <c r="G66" s="73">
        <f t="shared" si="5"/>
        <v>46083</v>
      </c>
      <c r="H66" s="73">
        <f t="shared" si="6"/>
        <v>46089</v>
      </c>
      <c r="I66" t="str">
        <f t="shared" si="7"/>
        <v>Friday</v>
      </c>
      <c r="J66" s="74">
        <f t="shared" si="8"/>
        <v>5</v>
      </c>
      <c r="K66" s="74" t="str">
        <f t="shared" si="9"/>
        <v>Mar-2026</v>
      </c>
    </row>
    <row r="67" spans="1:11">
      <c r="A67" s="73">
        <f t="shared" si="10"/>
        <v>46088</v>
      </c>
      <c r="B67" s="74">
        <f t="shared" ref="B67:B130" si="11">YEAR(A67)</f>
        <v>2026</v>
      </c>
      <c r="C67" s="74">
        <f t="shared" ref="C67:C130" si="12">MONTH(A67)</f>
        <v>3</v>
      </c>
      <c r="D67" t="str">
        <f t="shared" ref="D67:D130" si="13">TEXT(A67,"mmmm")</f>
        <v>March</v>
      </c>
      <c r="E67" s="74" t="str">
        <f t="shared" ref="E67:E130" si="14">"Q"&amp;ROUNDUP(MONTH(A67)/3,0)</f>
        <v>Q1</v>
      </c>
      <c r="F67" s="74">
        <f t="shared" ref="F67:F130" si="15">WEEKNUM(A67,2)</f>
        <v>10</v>
      </c>
      <c r="G67" s="73">
        <f t="shared" ref="G67:G130" si="16">A67-WEEKDAY(A67,2)+1</f>
        <v>46083</v>
      </c>
      <c r="H67" s="73">
        <f t="shared" ref="H67:H130" si="17">G67+6</f>
        <v>46089</v>
      </c>
      <c r="I67" t="str">
        <f t="shared" ref="I67:I130" si="18">TEXT(A67,"dddd")</f>
        <v>Saturday</v>
      </c>
      <c r="J67" s="74">
        <f t="shared" ref="J67:J130" si="19">WEEKDAY(A67,2)</f>
        <v>6</v>
      </c>
      <c r="K67" s="74" t="str">
        <f t="shared" ref="K67:K130" si="20">TEXT(A67,"mmm-yyyy")</f>
        <v>Mar-2026</v>
      </c>
    </row>
    <row r="68" spans="1:11">
      <c r="A68" s="73">
        <f t="shared" ref="A68:A131" si="21">A67+1</f>
        <v>46089</v>
      </c>
      <c r="B68" s="74">
        <f t="shared" si="11"/>
        <v>2026</v>
      </c>
      <c r="C68" s="74">
        <f t="shared" si="12"/>
        <v>3</v>
      </c>
      <c r="D68" t="str">
        <f t="shared" si="13"/>
        <v>March</v>
      </c>
      <c r="E68" s="74" t="str">
        <f t="shared" si="14"/>
        <v>Q1</v>
      </c>
      <c r="F68" s="74">
        <f t="shared" si="15"/>
        <v>10</v>
      </c>
      <c r="G68" s="73">
        <f t="shared" si="16"/>
        <v>46083</v>
      </c>
      <c r="H68" s="73">
        <f t="shared" si="17"/>
        <v>46089</v>
      </c>
      <c r="I68" t="str">
        <f t="shared" si="18"/>
        <v>Sunday</v>
      </c>
      <c r="J68" s="74">
        <f t="shared" si="19"/>
        <v>7</v>
      </c>
      <c r="K68" s="74" t="str">
        <f t="shared" si="20"/>
        <v>Mar-2026</v>
      </c>
    </row>
    <row r="69" spans="1:11">
      <c r="A69" s="73">
        <f t="shared" si="21"/>
        <v>46090</v>
      </c>
      <c r="B69" s="74">
        <f t="shared" si="11"/>
        <v>2026</v>
      </c>
      <c r="C69" s="74">
        <f t="shared" si="12"/>
        <v>3</v>
      </c>
      <c r="D69" t="str">
        <f t="shared" si="13"/>
        <v>March</v>
      </c>
      <c r="E69" s="74" t="str">
        <f t="shared" si="14"/>
        <v>Q1</v>
      </c>
      <c r="F69" s="74">
        <f t="shared" si="15"/>
        <v>11</v>
      </c>
      <c r="G69" s="73">
        <f t="shared" si="16"/>
        <v>46090</v>
      </c>
      <c r="H69" s="73">
        <f t="shared" si="17"/>
        <v>46096</v>
      </c>
      <c r="I69" t="str">
        <f t="shared" si="18"/>
        <v>Monday</v>
      </c>
      <c r="J69" s="74">
        <f t="shared" si="19"/>
        <v>1</v>
      </c>
      <c r="K69" s="74" t="str">
        <f t="shared" si="20"/>
        <v>Mar-2026</v>
      </c>
    </row>
    <row r="70" spans="1:11">
      <c r="A70" s="73">
        <f t="shared" si="21"/>
        <v>46091</v>
      </c>
      <c r="B70" s="74">
        <f t="shared" si="11"/>
        <v>2026</v>
      </c>
      <c r="C70" s="74">
        <f t="shared" si="12"/>
        <v>3</v>
      </c>
      <c r="D70" t="str">
        <f t="shared" si="13"/>
        <v>March</v>
      </c>
      <c r="E70" s="74" t="str">
        <f t="shared" si="14"/>
        <v>Q1</v>
      </c>
      <c r="F70" s="74">
        <f t="shared" si="15"/>
        <v>11</v>
      </c>
      <c r="G70" s="73">
        <f t="shared" si="16"/>
        <v>46090</v>
      </c>
      <c r="H70" s="73">
        <f t="shared" si="17"/>
        <v>46096</v>
      </c>
      <c r="I70" t="str">
        <f t="shared" si="18"/>
        <v>Tuesday</v>
      </c>
      <c r="J70" s="74">
        <f t="shared" si="19"/>
        <v>2</v>
      </c>
      <c r="K70" s="74" t="str">
        <f t="shared" si="20"/>
        <v>Mar-2026</v>
      </c>
    </row>
    <row r="71" spans="1:11">
      <c r="A71" s="73">
        <f t="shared" si="21"/>
        <v>46092</v>
      </c>
      <c r="B71" s="74">
        <f t="shared" si="11"/>
        <v>2026</v>
      </c>
      <c r="C71" s="74">
        <f t="shared" si="12"/>
        <v>3</v>
      </c>
      <c r="D71" t="str">
        <f t="shared" si="13"/>
        <v>March</v>
      </c>
      <c r="E71" s="74" t="str">
        <f t="shared" si="14"/>
        <v>Q1</v>
      </c>
      <c r="F71" s="74">
        <f t="shared" si="15"/>
        <v>11</v>
      </c>
      <c r="G71" s="73">
        <f t="shared" si="16"/>
        <v>46090</v>
      </c>
      <c r="H71" s="73">
        <f t="shared" si="17"/>
        <v>46096</v>
      </c>
      <c r="I71" t="str">
        <f t="shared" si="18"/>
        <v>Wednesday</v>
      </c>
      <c r="J71" s="74">
        <f t="shared" si="19"/>
        <v>3</v>
      </c>
      <c r="K71" s="74" t="str">
        <f t="shared" si="20"/>
        <v>Mar-2026</v>
      </c>
    </row>
    <row r="72" spans="1:11">
      <c r="A72" s="73">
        <f t="shared" si="21"/>
        <v>46093</v>
      </c>
      <c r="B72" s="74">
        <f t="shared" si="11"/>
        <v>2026</v>
      </c>
      <c r="C72" s="74">
        <f t="shared" si="12"/>
        <v>3</v>
      </c>
      <c r="D72" t="str">
        <f t="shared" si="13"/>
        <v>March</v>
      </c>
      <c r="E72" s="74" t="str">
        <f t="shared" si="14"/>
        <v>Q1</v>
      </c>
      <c r="F72" s="74">
        <f t="shared" si="15"/>
        <v>11</v>
      </c>
      <c r="G72" s="73">
        <f t="shared" si="16"/>
        <v>46090</v>
      </c>
      <c r="H72" s="73">
        <f t="shared" si="17"/>
        <v>46096</v>
      </c>
      <c r="I72" t="str">
        <f t="shared" si="18"/>
        <v>Thursday</v>
      </c>
      <c r="J72" s="74">
        <f t="shared" si="19"/>
        <v>4</v>
      </c>
      <c r="K72" s="74" t="str">
        <f t="shared" si="20"/>
        <v>Mar-2026</v>
      </c>
    </row>
    <row r="73" spans="1:11">
      <c r="A73" s="73">
        <f t="shared" si="21"/>
        <v>46094</v>
      </c>
      <c r="B73" s="74">
        <f t="shared" si="11"/>
        <v>2026</v>
      </c>
      <c r="C73" s="74">
        <f t="shared" si="12"/>
        <v>3</v>
      </c>
      <c r="D73" t="str">
        <f t="shared" si="13"/>
        <v>March</v>
      </c>
      <c r="E73" s="74" t="str">
        <f t="shared" si="14"/>
        <v>Q1</v>
      </c>
      <c r="F73" s="74">
        <f t="shared" si="15"/>
        <v>11</v>
      </c>
      <c r="G73" s="73">
        <f t="shared" si="16"/>
        <v>46090</v>
      </c>
      <c r="H73" s="73">
        <f t="shared" si="17"/>
        <v>46096</v>
      </c>
      <c r="I73" t="str">
        <f t="shared" si="18"/>
        <v>Friday</v>
      </c>
      <c r="J73" s="74">
        <f t="shared" si="19"/>
        <v>5</v>
      </c>
      <c r="K73" s="74" t="str">
        <f t="shared" si="20"/>
        <v>Mar-2026</v>
      </c>
    </row>
    <row r="74" spans="1:11">
      <c r="A74" s="73">
        <f t="shared" si="21"/>
        <v>46095</v>
      </c>
      <c r="B74" s="74">
        <f t="shared" si="11"/>
        <v>2026</v>
      </c>
      <c r="C74" s="74">
        <f t="shared" si="12"/>
        <v>3</v>
      </c>
      <c r="D74" t="str">
        <f t="shared" si="13"/>
        <v>March</v>
      </c>
      <c r="E74" s="74" t="str">
        <f t="shared" si="14"/>
        <v>Q1</v>
      </c>
      <c r="F74" s="74">
        <f t="shared" si="15"/>
        <v>11</v>
      </c>
      <c r="G74" s="73">
        <f t="shared" si="16"/>
        <v>46090</v>
      </c>
      <c r="H74" s="73">
        <f t="shared" si="17"/>
        <v>46096</v>
      </c>
      <c r="I74" t="str">
        <f t="shared" si="18"/>
        <v>Saturday</v>
      </c>
      <c r="J74" s="74">
        <f t="shared" si="19"/>
        <v>6</v>
      </c>
      <c r="K74" s="74" t="str">
        <f t="shared" si="20"/>
        <v>Mar-2026</v>
      </c>
    </row>
    <row r="75" spans="1:11">
      <c r="A75" s="73">
        <f t="shared" si="21"/>
        <v>46096</v>
      </c>
      <c r="B75" s="74">
        <f t="shared" si="11"/>
        <v>2026</v>
      </c>
      <c r="C75" s="74">
        <f t="shared" si="12"/>
        <v>3</v>
      </c>
      <c r="D75" t="str">
        <f t="shared" si="13"/>
        <v>March</v>
      </c>
      <c r="E75" s="74" t="str">
        <f t="shared" si="14"/>
        <v>Q1</v>
      </c>
      <c r="F75" s="74">
        <f t="shared" si="15"/>
        <v>11</v>
      </c>
      <c r="G75" s="73">
        <f t="shared" si="16"/>
        <v>46090</v>
      </c>
      <c r="H75" s="73">
        <f t="shared" si="17"/>
        <v>46096</v>
      </c>
      <c r="I75" t="str">
        <f t="shared" si="18"/>
        <v>Sunday</v>
      </c>
      <c r="J75" s="74">
        <f t="shared" si="19"/>
        <v>7</v>
      </c>
      <c r="K75" s="74" t="str">
        <f t="shared" si="20"/>
        <v>Mar-2026</v>
      </c>
    </row>
    <row r="76" spans="1:11">
      <c r="A76" s="73">
        <f t="shared" si="21"/>
        <v>46097</v>
      </c>
      <c r="B76" s="74">
        <f t="shared" si="11"/>
        <v>2026</v>
      </c>
      <c r="C76" s="74">
        <f t="shared" si="12"/>
        <v>3</v>
      </c>
      <c r="D76" t="str">
        <f t="shared" si="13"/>
        <v>March</v>
      </c>
      <c r="E76" s="74" t="str">
        <f t="shared" si="14"/>
        <v>Q1</v>
      </c>
      <c r="F76" s="74">
        <f t="shared" si="15"/>
        <v>12</v>
      </c>
      <c r="G76" s="73">
        <f t="shared" si="16"/>
        <v>46097</v>
      </c>
      <c r="H76" s="73">
        <f t="shared" si="17"/>
        <v>46103</v>
      </c>
      <c r="I76" t="str">
        <f t="shared" si="18"/>
        <v>Monday</v>
      </c>
      <c r="J76" s="74">
        <f t="shared" si="19"/>
        <v>1</v>
      </c>
      <c r="K76" s="74" t="str">
        <f t="shared" si="20"/>
        <v>Mar-2026</v>
      </c>
    </row>
    <row r="77" spans="1:11">
      <c r="A77" s="73">
        <f t="shared" si="21"/>
        <v>46098</v>
      </c>
      <c r="B77" s="74">
        <f t="shared" si="11"/>
        <v>2026</v>
      </c>
      <c r="C77" s="74">
        <f t="shared" si="12"/>
        <v>3</v>
      </c>
      <c r="D77" t="str">
        <f t="shared" si="13"/>
        <v>March</v>
      </c>
      <c r="E77" s="74" t="str">
        <f t="shared" si="14"/>
        <v>Q1</v>
      </c>
      <c r="F77" s="74">
        <f t="shared" si="15"/>
        <v>12</v>
      </c>
      <c r="G77" s="73">
        <f t="shared" si="16"/>
        <v>46097</v>
      </c>
      <c r="H77" s="73">
        <f t="shared" si="17"/>
        <v>46103</v>
      </c>
      <c r="I77" t="str">
        <f t="shared" si="18"/>
        <v>Tuesday</v>
      </c>
      <c r="J77" s="74">
        <f t="shared" si="19"/>
        <v>2</v>
      </c>
      <c r="K77" s="74" t="str">
        <f t="shared" si="20"/>
        <v>Mar-2026</v>
      </c>
    </row>
    <row r="78" spans="1:11">
      <c r="A78" s="73">
        <f t="shared" si="21"/>
        <v>46099</v>
      </c>
      <c r="B78" s="74">
        <f t="shared" si="11"/>
        <v>2026</v>
      </c>
      <c r="C78" s="74">
        <f t="shared" si="12"/>
        <v>3</v>
      </c>
      <c r="D78" t="str">
        <f t="shared" si="13"/>
        <v>March</v>
      </c>
      <c r="E78" s="74" t="str">
        <f t="shared" si="14"/>
        <v>Q1</v>
      </c>
      <c r="F78" s="74">
        <f t="shared" si="15"/>
        <v>12</v>
      </c>
      <c r="G78" s="73">
        <f t="shared" si="16"/>
        <v>46097</v>
      </c>
      <c r="H78" s="73">
        <f t="shared" si="17"/>
        <v>46103</v>
      </c>
      <c r="I78" t="str">
        <f t="shared" si="18"/>
        <v>Wednesday</v>
      </c>
      <c r="J78" s="74">
        <f t="shared" si="19"/>
        <v>3</v>
      </c>
      <c r="K78" s="74" t="str">
        <f t="shared" si="20"/>
        <v>Mar-2026</v>
      </c>
    </row>
    <row r="79" spans="1:11">
      <c r="A79" s="73">
        <f t="shared" si="21"/>
        <v>46100</v>
      </c>
      <c r="B79" s="74">
        <f t="shared" si="11"/>
        <v>2026</v>
      </c>
      <c r="C79" s="74">
        <f t="shared" si="12"/>
        <v>3</v>
      </c>
      <c r="D79" t="str">
        <f t="shared" si="13"/>
        <v>March</v>
      </c>
      <c r="E79" s="74" t="str">
        <f t="shared" si="14"/>
        <v>Q1</v>
      </c>
      <c r="F79" s="74">
        <f t="shared" si="15"/>
        <v>12</v>
      </c>
      <c r="G79" s="73">
        <f t="shared" si="16"/>
        <v>46097</v>
      </c>
      <c r="H79" s="73">
        <f t="shared" si="17"/>
        <v>46103</v>
      </c>
      <c r="I79" t="str">
        <f t="shared" si="18"/>
        <v>Thursday</v>
      </c>
      <c r="J79" s="74">
        <f t="shared" si="19"/>
        <v>4</v>
      </c>
      <c r="K79" s="74" t="str">
        <f t="shared" si="20"/>
        <v>Mar-2026</v>
      </c>
    </row>
    <row r="80" spans="1:11">
      <c r="A80" s="73">
        <f t="shared" si="21"/>
        <v>46101</v>
      </c>
      <c r="B80" s="74">
        <f t="shared" si="11"/>
        <v>2026</v>
      </c>
      <c r="C80" s="74">
        <f t="shared" si="12"/>
        <v>3</v>
      </c>
      <c r="D80" t="str">
        <f t="shared" si="13"/>
        <v>March</v>
      </c>
      <c r="E80" s="74" t="str">
        <f t="shared" si="14"/>
        <v>Q1</v>
      </c>
      <c r="F80" s="74">
        <f t="shared" si="15"/>
        <v>12</v>
      </c>
      <c r="G80" s="73">
        <f t="shared" si="16"/>
        <v>46097</v>
      </c>
      <c r="H80" s="73">
        <f t="shared" si="17"/>
        <v>46103</v>
      </c>
      <c r="I80" t="str">
        <f t="shared" si="18"/>
        <v>Friday</v>
      </c>
      <c r="J80" s="74">
        <f t="shared" si="19"/>
        <v>5</v>
      </c>
      <c r="K80" s="74" t="str">
        <f t="shared" si="20"/>
        <v>Mar-2026</v>
      </c>
    </row>
    <row r="81" spans="1:11">
      <c r="A81" s="73">
        <f t="shared" si="21"/>
        <v>46102</v>
      </c>
      <c r="B81" s="74">
        <f t="shared" si="11"/>
        <v>2026</v>
      </c>
      <c r="C81" s="74">
        <f t="shared" si="12"/>
        <v>3</v>
      </c>
      <c r="D81" t="str">
        <f t="shared" si="13"/>
        <v>March</v>
      </c>
      <c r="E81" s="74" t="str">
        <f t="shared" si="14"/>
        <v>Q1</v>
      </c>
      <c r="F81" s="74">
        <f t="shared" si="15"/>
        <v>12</v>
      </c>
      <c r="G81" s="73">
        <f t="shared" si="16"/>
        <v>46097</v>
      </c>
      <c r="H81" s="73">
        <f t="shared" si="17"/>
        <v>46103</v>
      </c>
      <c r="I81" t="str">
        <f t="shared" si="18"/>
        <v>Saturday</v>
      </c>
      <c r="J81" s="74">
        <f t="shared" si="19"/>
        <v>6</v>
      </c>
      <c r="K81" s="74" t="str">
        <f t="shared" si="20"/>
        <v>Mar-2026</v>
      </c>
    </row>
    <row r="82" spans="1:11">
      <c r="A82" s="73">
        <f t="shared" si="21"/>
        <v>46103</v>
      </c>
      <c r="B82" s="74">
        <f t="shared" si="11"/>
        <v>2026</v>
      </c>
      <c r="C82" s="74">
        <f t="shared" si="12"/>
        <v>3</v>
      </c>
      <c r="D82" t="str">
        <f t="shared" si="13"/>
        <v>March</v>
      </c>
      <c r="E82" s="74" t="str">
        <f t="shared" si="14"/>
        <v>Q1</v>
      </c>
      <c r="F82" s="74">
        <f t="shared" si="15"/>
        <v>12</v>
      </c>
      <c r="G82" s="73">
        <f t="shared" si="16"/>
        <v>46097</v>
      </c>
      <c r="H82" s="73">
        <f t="shared" si="17"/>
        <v>46103</v>
      </c>
      <c r="I82" t="str">
        <f t="shared" si="18"/>
        <v>Sunday</v>
      </c>
      <c r="J82" s="74">
        <f t="shared" si="19"/>
        <v>7</v>
      </c>
      <c r="K82" s="74" t="str">
        <f t="shared" si="20"/>
        <v>Mar-2026</v>
      </c>
    </row>
    <row r="83" spans="1:11">
      <c r="A83" s="73">
        <f t="shared" si="21"/>
        <v>46104</v>
      </c>
      <c r="B83" s="74">
        <f t="shared" si="11"/>
        <v>2026</v>
      </c>
      <c r="C83" s="74">
        <f t="shared" si="12"/>
        <v>3</v>
      </c>
      <c r="D83" t="str">
        <f t="shared" si="13"/>
        <v>March</v>
      </c>
      <c r="E83" s="74" t="str">
        <f t="shared" si="14"/>
        <v>Q1</v>
      </c>
      <c r="F83" s="74">
        <f t="shared" si="15"/>
        <v>13</v>
      </c>
      <c r="G83" s="73">
        <f t="shared" si="16"/>
        <v>46104</v>
      </c>
      <c r="H83" s="73">
        <f t="shared" si="17"/>
        <v>46110</v>
      </c>
      <c r="I83" t="str">
        <f t="shared" si="18"/>
        <v>Monday</v>
      </c>
      <c r="J83" s="74">
        <f t="shared" si="19"/>
        <v>1</v>
      </c>
      <c r="K83" s="74" t="str">
        <f t="shared" si="20"/>
        <v>Mar-2026</v>
      </c>
    </row>
    <row r="84" spans="1:11">
      <c r="A84" s="73">
        <f t="shared" si="21"/>
        <v>46105</v>
      </c>
      <c r="B84" s="74">
        <f t="shared" si="11"/>
        <v>2026</v>
      </c>
      <c r="C84" s="74">
        <f t="shared" si="12"/>
        <v>3</v>
      </c>
      <c r="D84" t="str">
        <f t="shared" si="13"/>
        <v>March</v>
      </c>
      <c r="E84" s="74" t="str">
        <f t="shared" si="14"/>
        <v>Q1</v>
      </c>
      <c r="F84" s="74">
        <f t="shared" si="15"/>
        <v>13</v>
      </c>
      <c r="G84" s="73">
        <f t="shared" si="16"/>
        <v>46104</v>
      </c>
      <c r="H84" s="73">
        <f t="shared" si="17"/>
        <v>46110</v>
      </c>
      <c r="I84" t="str">
        <f t="shared" si="18"/>
        <v>Tuesday</v>
      </c>
      <c r="J84" s="74">
        <f t="shared" si="19"/>
        <v>2</v>
      </c>
      <c r="K84" s="74" t="str">
        <f t="shared" si="20"/>
        <v>Mar-2026</v>
      </c>
    </row>
    <row r="85" spans="1:11">
      <c r="A85" s="73">
        <f t="shared" si="21"/>
        <v>46106</v>
      </c>
      <c r="B85" s="74">
        <f t="shared" si="11"/>
        <v>2026</v>
      </c>
      <c r="C85" s="74">
        <f t="shared" si="12"/>
        <v>3</v>
      </c>
      <c r="D85" t="str">
        <f t="shared" si="13"/>
        <v>March</v>
      </c>
      <c r="E85" s="74" t="str">
        <f t="shared" si="14"/>
        <v>Q1</v>
      </c>
      <c r="F85" s="74">
        <f t="shared" si="15"/>
        <v>13</v>
      </c>
      <c r="G85" s="73">
        <f t="shared" si="16"/>
        <v>46104</v>
      </c>
      <c r="H85" s="73">
        <f t="shared" si="17"/>
        <v>46110</v>
      </c>
      <c r="I85" t="str">
        <f t="shared" si="18"/>
        <v>Wednesday</v>
      </c>
      <c r="J85" s="74">
        <f t="shared" si="19"/>
        <v>3</v>
      </c>
      <c r="K85" s="74" t="str">
        <f t="shared" si="20"/>
        <v>Mar-2026</v>
      </c>
    </row>
    <row r="86" spans="1:11">
      <c r="A86" s="73">
        <f t="shared" si="21"/>
        <v>46107</v>
      </c>
      <c r="B86" s="74">
        <f t="shared" si="11"/>
        <v>2026</v>
      </c>
      <c r="C86" s="74">
        <f t="shared" si="12"/>
        <v>3</v>
      </c>
      <c r="D86" t="str">
        <f t="shared" si="13"/>
        <v>March</v>
      </c>
      <c r="E86" s="74" t="str">
        <f t="shared" si="14"/>
        <v>Q1</v>
      </c>
      <c r="F86" s="74">
        <f t="shared" si="15"/>
        <v>13</v>
      </c>
      <c r="G86" s="73">
        <f t="shared" si="16"/>
        <v>46104</v>
      </c>
      <c r="H86" s="73">
        <f t="shared" si="17"/>
        <v>46110</v>
      </c>
      <c r="I86" t="str">
        <f t="shared" si="18"/>
        <v>Thursday</v>
      </c>
      <c r="J86" s="74">
        <f t="shared" si="19"/>
        <v>4</v>
      </c>
      <c r="K86" s="74" t="str">
        <f t="shared" si="20"/>
        <v>Mar-2026</v>
      </c>
    </row>
    <row r="87" spans="1:11">
      <c r="A87" s="73">
        <f t="shared" si="21"/>
        <v>46108</v>
      </c>
      <c r="B87" s="74">
        <f t="shared" si="11"/>
        <v>2026</v>
      </c>
      <c r="C87" s="74">
        <f t="shared" si="12"/>
        <v>3</v>
      </c>
      <c r="D87" t="str">
        <f t="shared" si="13"/>
        <v>March</v>
      </c>
      <c r="E87" s="74" t="str">
        <f t="shared" si="14"/>
        <v>Q1</v>
      </c>
      <c r="F87" s="74">
        <f t="shared" si="15"/>
        <v>13</v>
      </c>
      <c r="G87" s="73">
        <f t="shared" si="16"/>
        <v>46104</v>
      </c>
      <c r="H87" s="73">
        <f t="shared" si="17"/>
        <v>46110</v>
      </c>
      <c r="I87" t="str">
        <f t="shared" si="18"/>
        <v>Friday</v>
      </c>
      <c r="J87" s="74">
        <f t="shared" si="19"/>
        <v>5</v>
      </c>
      <c r="K87" s="74" t="str">
        <f t="shared" si="20"/>
        <v>Mar-2026</v>
      </c>
    </row>
    <row r="88" spans="1:11">
      <c r="A88" s="73">
        <f t="shared" si="21"/>
        <v>46109</v>
      </c>
      <c r="B88" s="74">
        <f t="shared" si="11"/>
        <v>2026</v>
      </c>
      <c r="C88" s="74">
        <f t="shared" si="12"/>
        <v>3</v>
      </c>
      <c r="D88" t="str">
        <f t="shared" si="13"/>
        <v>March</v>
      </c>
      <c r="E88" s="74" t="str">
        <f t="shared" si="14"/>
        <v>Q1</v>
      </c>
      <c r="F88" s="74">
        <f t="shared" si="15"/>
        <v>13</v>
      </c>
      <c r="G88" s="73">
        <f t="shared" si="16"/>
        <v>46104</v>
      </c>
      <c r="H88" s="73">
        <f t="shared" si="17"/>
        <v>46110</v>
      </c>
      <c r="I88" t="str">
        <f t="shared" si="18"/>
        <v>Saturday</v>
      </c>
      <c r="J88" s="74">
        <f t="shared" si="19"/>
        <v>6</v>
      </c>
      <c r="K88" s="74" t="str">
        <f t="shared" si="20"/>
        <v>Mar-2026</v>
      </c>
    </row>
    <row r="89" spans="1:11">
      <c r="A89" s="73">
        <f t="shared" si="21"/>
        <v>46110</v>
      </c>
      <c r="B89" s="74">
        <f t="shared" si="11"/>
        <v>2026</v>
      </c>
      <c r="C89" s="74">
        <f t="shared" si="12"/>
        <v>3</v>
      </c>
      <c r="D89" t="str">
        <f t="shared" si="13"/>
        <v>March</v>
      </c>
      <c r="E89" s="74" t="str">
        <f t="shared" si="14"/>
        <v>Q1</v>
      </c>
      <c r="F89" s="74">
        <f t="shared" si="15"/>
        <v>13</v>
      </c>
      <c r="G89" s="73">
        <f t="shared" si="16"/>
        <v>46104</v>
      </c>
      <c r="H89" s="73">
        <f t="shared" si="17"/>
        <v>46110</v>
      </c>
      <c r="I89" t="str">
        <f t="shared" si="18"/>
        <v>Sunday</v>
      </c>
      <c r="J89" s="74">
        <f t="shared" si="19"/>
        <v>7</v>
      </c>
      <c r="K89" s="74" t="str">
        <f t="shared" si="20"/>
        <v>Mar-2026</v>
      </c>
    </row>
    <row r="90" spans="1:11">
      <c r="A90" s="73">
        <f t="shared" si="21"/>
        <v>46111</v>
      </c>
      <c r="B90" s="74">
        <f t="shared" si="11"/>
        <v>2026</v>
      </c>
      <c r="C90" s="74">
        <f t="shared" si="12"/>
        <v>3</v>
      </c>
      <c r="D90" t="str">
        <f t="shared" si="13"/>
        <v>March</v>
      </c>
      <c r="E90" s="74" t="str">
        <f t="shared" si="14"/>
        <v>Q1</v>
      </c>
      <c r="F90" s="74">
        <f t="shared" si="15"/>
        <v>14</v>
      </c>
      <c r="G90" s="73">
        <f t="shared" si="16"/>
        <v>46111</v>
      </c>
      <c r="H90" s="73">
        <f t="shared" si="17"/>
        <v>46117</v>
      </c>
      <c r="I90" t="str">
        <f t="shared" si="18"/>
        <v>Monday</v>
      </c>
      <c r="J90" s="74">
        <f t="shared" si="19"/>
        <v>1</v>
      </c>
      <c r="K90" s="74" t="str">
        <f t="shared" si="20"/>
        <v>Mar-2026</v>
      </c>
    </row>
    <row r="91" spans="1:11">
      <c r="A91" s="73">
        <f t="shared" si="21"/>
        <v>46112</v>
      </c>
      <c r="B91" s="74">
        <f t="shared" si="11"/>
        <v>2026</v>
      </c>
      <c r="C91" s="74">
        <f t="shared" si="12"/>
        <v>3</v>
      </c>
      <c r="D91" t="str">
        <f t="shared" si="13"/>
        <v>March</v>
      </c>
      <c r="E91" s="74" t="str">
        <f t="shared" si="14"/>
        <v>Q1</v>
      </c>
      <c r="F91" s="74">
        <f t="shared" si="15"/>
        <v>14</v>
      </c>
      <c r="G91" s="73">
        <f t="shared" si="16"/>
        <v>46111</v>
      </c>
      <c r="H91" s="73">
        <f t="shared" si="17"/>
        <v>46117</v>
      </c>
      <c r="I91" t="str">
        <f t="shared" si="18"/>
        <v>Tuesday</v>
      </c>
      <c r="J91" s="74">
        <f t="shared" si="19"/>
        <v>2</v>
      </c>
      <c r="K91" s="74" t="str">
        <f t="shared" si="20"/>
        <v>Mar-2026</v>
      </c>
    </row>
    <row r="92" spans="1:11">
      <c r="A92" s="73">
        <f t="shared" si="21"/>
        <v>46113</v>
      </c>
      <c r="B92" s="74">
        <f t="shared" si="11"/>
        <v>2026</v>
      </c>
      <c r="C92" s="74">
        <f t="shared" si="12"/>
        <v>4</v>
      </c>
      <c r="D92" t="str">
        <f t="shared" si="13"/>
        <v>April</v>
      </c>
      <c r="E92" s="74" t="str">
        <f t="shared" si="14"/>
        <v>Q2</v>
      </c>
      <c r="F92" s="74">
        <f t="shared" si="15"/>
        <v>14</v>
      </c>
      <c r="G92" s="73">
        <f t="shared" si="16"/>
        <v>46111</v>
      </c>
      <c r="H92" s="73">
        <f t="shared" si="17"/>
        <v>46117</v>
      </c>
      <c r="I92" t="str">
        <f t="shared" si="18"/>
        <v>Wednesday</v>
      </c>
      <c r="J92" s="74">
        <f t="shared" si="19"/>
        <v>3</v>
      </c>
      <c r="K92" s="74" t="str">
        <f t="shared" si="20"/>
        <v>Apr-2026</v>
      </c>
    </row>
    <row r="93" spans="1:11">
      <c r="A93" s="73">
        <f t="shared" si="21"/>
        <v>46114</v>
      </c>
      <c r="B93" s="74">
        <f t="shared" si="11"/>
        <v>2026</v>
      </c>
      <c r="C93" s="74">
        <f t="shared" si="12"/>
        <v>4</v>
      </c>
      <c r="D93" t="str">
        <f t="shared" si="13"/>
        <v>April</v>
      </c>
      <c r="E93" s="74" t="str">
        <f t="shared" si="14"/>
        <v>Q2</v>
      </c>
      <c r="F93" s="74">
        <f t="shared" si="15"/>
        <v>14</v>
      </c>
      <c r="G93" s="73">
        <f t="shared" si="16"/>
        <v>46111</v>
      </c>
      <c r="H93" s="73">
        <f t="shared" si="17"/>
        <v>46117</v>
      </c>
      <c r="I93" t="str">
        <f t="shared" si="18"/>
        <v>Thursday</v>
      </c>
      <c r="J93" s="74">
        <f t="shared" si="19"/>
        <v>4</v>
      </c>
      <c r="K93" s="74" t="str">
        <f t="shared" si="20"/>
        <v>Apr-2026</v>
      </c>
    </row>
    <row r="94" spans="1:11">
      <c r="A94" s="73">
        <f t="shared" si="21"/>
        <v>46115</v>
      </c>
      <c r="B94" s="74">
        <f t="shared" si="11"/>
        <v>2026</v>
      </c>
      <c r="C94" s="74">
        <f t="shared" si="12"/>
        <v>4</v>
      </c>
      <c r="D94" t="str">
        <f t="shared" si="13"/>
        <v>April</v>
      </c>
      <c r="E94" s="74" t="str">
        <f t="shared" si="14"/>
        <v>Q2</v>
      </c>
      <c r="F94" s="74">
        <f t="shared" si="15"/>
        <v>14</v>
      </c>
      <c r="G94" s="73">
        <f t="shared" si="16"/>
        <v>46111</v>
      </c>
      <c r="H94" s="73">
        <f t="shared" si="17"/>
        <v>46117</v>
      </c>
      <c r="I94" t="str">
        <f t="shared" si="18"/>
        <v>Friday</v>
      </c>
      <c r="J94" s="74">
        <f t="shared" si="19"/>
        <v>5</v>
      </c>
      <c r="K94" s="74" t="str">
        <f t="shared" si="20"/>
        <v>Apr-2026</v>
      </c>
    </row>
    <row r="95" spans="1:11">
      <c r="A95" s="73">
        <f t="shared" si="21"/>
        <v>46116</v>
      </c>
      <c r="B95" s="74">
        <f t="shared" si="11"/>
        <v>2026</v>
      </c>
      <c r="C95" s="74">
        <f t="shared" si="12"/>
        <v>4</v>
      </c>
      <c r="D95" t="str">
        <f t="shared" si="13"/>
        <v>April</v>
      </c>
      <c r="E95" s="74" t="str">
        <f t="shared" si="14"/>
        <v>Q2</v>
      </c>
      <c r="F95" s="74">
        <f t="shared" si="15"/>
        <v>14</v>
      </c>
      <c r="G95" s="73">
        <f t="shared" si="16"/>
        <v>46111</v>
      </c>
      <c r="H95" s="73">
        <f t="shared" si="17"/>
        <v>46117</v>
      </c>
      <c r="I95" t="str">
        <f t="shared" si="18"/>
        <v>Saturday</v>
      </c>
      <c r="J95" s="74">
        <f t="shared" si="19"/>
        <v>6</v>
      </c>
      <c r="K95" s="74" t="str">
        <f t="shared" si="20"/>
        <v>Apr-2026</v>
      </c>
    </row>
    <row r="96" spans="1:11">
      <c r="A96" s="73">
        <f t="shared" si="21"/>
        <v>46117</v>
      </c>
      <c r="B96" s="74">
        <f t="shared" si="11"/>
        <v>2026</v>
      </c>
      <c r="C96" s="74">
        <f t="shared" si="12"/>
        <v>4</v>
      </c>
      <c r="D96" t="str">
        <f t="shared" si="13"/>
        <v>April</v>
      </c>
      <c r="E96" s="74" t="str">
        <f t="shared" si="14"/>
        <v>Q2</v>
      </c>
      <c r="F96" s="74">
        <f t="shared" si="15"/>
        <v>14</v>
      </c>
      <c r="G96" s="73">
        <f t="shared" si="16"/>
        <v>46111</v>
      </c>
      <c r="H96" s="73">
        <f t="shared" si="17"/>
        <v>46117</v>
      </c>
      <c r="I96" t="str">
        <f t="shared" si="18"/>
        <v>Sunday</v>
      </c>
      <c r="J96" s="74">
        <f t="shared" si="19"/>
        <v>7</v>
      </c>
      <c r="K96" s="74" t="str">
        <f t="shared" si="20"/>
        <v>Apr-2026</v>
      </c>
    </row>
    <row r="97" spans="1:11">
      <c r="A97" s="73">
        <f t="shared" si="21"/>
        <v>46118</v>
      </c>
      <c r="B97" s="74">
        <f t="shared" si="11"/>
        <v>2026</v>
      </c>
      <c r="C97" s="74">
        <f t="shared" si="12"/>
        <v>4</v>
      </c>
      <c r="D97" t="str">
        <f t="shared" si="13"/>
        <v>April</v>
      </c>
      <c r="E97" s="74" t="str">
        <f t="shared" si="14"/>
        <v>Q2</v>
      </c>
      <c r="F97" s="74">
        <f t="shared" si="15"/>
        <v>15</v>
      </c>
      <c r="G97" s="73">
        <f t="shared" si="16"/>
        <v>46118</v>
      </c>
      <c r="H97" s="73">
        <f t="shared" si="17"/>
        <v>46124</v>
      </c>
      <c r="I97" t="str">
        <f t="shared" si="18"/>
        <v>Monday</v>
      </c>
      <c r="J97" s="74">
        <f t="shared" si="19"/>
        <v>1</v>
      </c>
      <c r="K97" s="74" t="str">
        <f t="shared" si="20"/>
        <v>Apr-2026</v>
      </c>
    </row>
    <row r="98" spans="1:11">
      <c r="A98" s="73">
        <f t="shared" si="21"/>
        <v>46119</v>
      </c>
      <c r="B98" s="74">
        <f t="shared" si="11"/>
        <v>2026</v>
      </c>
      <c r="C98" s="74">
        <f t="shared" si="12"/>
        <v>4</v>
      </c>
      <c r="D98" t="str">
        <f t="shared" si="13"/>
        <v>April</v>
      </c>
      <c r="E98" s="74" t="str">
        <f t="shared" si="14"/>
        <v>Q2</v>
      </c>
      <c r="F98" s="74">
        <f t="shared" si="15"/>
        <v>15</v>
      </c>
      <c r="G98" s="73">
        <f t="shared" si="16"/>
        <v>46118</v>
      </c>
      <c r="H98" s="73">
        <f t="shared" si="17"/>
        <v>46124</v>
      </c>
      <c r="I98" t="str">
        <f t="shared" si="18"/>
        <v>Tuesday</v>
      </c>
      <c r="J98" s="74">
        <f t="shared" si="19"/>
        <v>2</v>
      </c>
      <c r="K98" s="74" t="str">
        <f t="shared" si="20"/>
        <v>Apr-2026</v>
      </c>
    </row>
    <row r="99" spans="1:11">
      <c r="A99" s="73">
        <f t="shared" si="21"/>
        <v>46120</v>
      </c>
      <c r="B99" s="74">
        <f t="shared" si="11"/>
        <v>2026</v>
      </c>
      <c r="C99" s="74">
        <f t="shared" si="12"/>
        <v>4</v>
      </c>
      <c r="D99" t="str">
        <f t="shared" si="13"/>
        <v>April</v>
      </c>
      <c r="E99" s="74" t="str">
        <f t="shared" si="14"/>
        <v>Q2</v>
      </c>
      <c r="F99" s="74">
        <f t="shared" si="15"/>
        <v>15</v>
      </c>
      <c r="G99" s="73">
        <f t="shared" si="16"/>
        <v>46118</v>
      </c>
      <c r="H99" s="73">
        <f t="shared" si="17"/>
        <v>46124</v>
      </c>
      <c r="I99" t="str">
        <f t="shared" si="18"/>
        <v>Wednesday</v>
      </c>
      <c r="J99" s="74">
        <f t="shared" si="19"/>
        <v>3</v>
      </c>
      <c r="K99" s="74" t="str">
        <f t="shared" si="20"/>
        <v>Apr-2026</v>
      </c>
    </row>
    <row r="100" spans="1:11">
      <c r="A100" s="73">
        <f t="shared" si="21"/>
        <v>46121</v>
      </c>
      <c r="B100" s="74">
        <f t="shared" si="11"/>
        <v>2026</v>
      </c>
      <c r="C100" s="74">
        <f t="shared" si="12"/>
        <v>4</v>
      </c>
      <c r="D100" t="str">
        <f t="shared" si="13"/>
        <v>April</v>
      </c>
      <c r="E100" s="74" t="str">
        <f t="shared" si="14"/>
        <v>Q2</v>
      </c>
      <c r="F100" s="74">
        <f t="shared" si="15"/>
        <v>15</v>
      </c>
      <c r="G100" s="73">
        <f t="shared" si="16"/>
        <v>46118</v>
      </c>
      <c r="H100" s="73">
        <f t="shared" si="17"/>
        <v>46124</v>
      </c>
      <c r="I100" t="str">
        <f t="shared" si="18"/>
        <v>Thursday</v>
      </c>
      <c r="J100" s="74">
        <f t="shared" si="19"/>
        <v>4</v>
      </c>
      <c r="K100" s="74" t="str">
        <f t="shared" si="20"/>
        <v>Apr-2026</v>
      </c>
    </row>
    <row r="101" spans="1:11">
      <c r="A101" s="73">
        <f t="shared" si="21"/>
        <v>46122</v>
      </c>
      <c r="B101" s="74">
        <f t="shared" si="11"/>
        <v>2026</v>
      </c>
      <c r="C101" s="74">
        <f t="shared" si="12"/>
        <v>4</v>
      </c>
      <c r="D101" t="str">
        <f t="shared" si="13"/>
        <v>April</v>
      </c>
      <c r="E101" s="74" t="str">
        <f t="shared" si="14"/>
        <v>Q2</v>
      </c>
      <c r="F101" s="74">
        <f t="shared" si="15"/>
        <v>15</v>
      </c>
      <c r="G101" s="73">
        <f t="shared" si="16"/>
        <v>46118</v>
      </c>
      <c r="H101" s="73">
        <f t="shared" si="17"/>
        <v>46124</v>
      </c>
      <c r="I101" t="str">
        <f t="shared" si="18"/>
        <v>Friday</v>
      </c>
      <c r="J101" s="74">
        <f t="shared" si="19"/>
        <v>5</v>
      </c>
      <c r="K101" s="74" t="str">
        <f t="shared" si="20"/>
        <v>Apr-2026</v>
      </c>
    </row>
    <row r="102" spans="1:11">
      <c r="A102" s="73">
        <f t="shared" si="21"/>
        <v>46123</v>
      </c>
      <c r="B102" s="74">
        <f t="shared" si="11"/>
        <v>2026</v>
      </c>
      <c r="C102" s="74">
        <f t="shared" si="12"/>
        <v>4</v>
      </c>
      <c r="D102" t="str">
        <f t="shared" si="13"/>
        <v>April</v>
      </c>
      <c r="E102" s="74" t="str">
        <f t="shared" si="14"/>
        <v>Q2</v>
      </c>
      <c r="F102" s="74">
        <f t="shared" si="15"/>
        <v>15</v>
      </c>
      <c r="G102" s="73">
        <f t="shared" si="16"/>
        <v>46118</v>
      </c>
      <c r="H102" s="73">
        <f t="shared" si="17"/>
        <v>46124</v>
      </c>
      <c r="I102" t="str">
        <f t="shared" si="18"/>
        <v>Saturday</v>
      </c>
      <c r="J102" s="74">
        <f t="shared" si="19"/>
        <v>6</v>
      </c>
      <c r="K102" s="74" t="str">
        <f t="shared" si="20"/>
        <v>Apr-2026</v>
      </c>
    </row>
    <row r="103" spans="1:11">
      <c r="A103" s="73">
        <f t="shared" si="21"/>
        <v>46124</v>
      </c>
      <c r="B103" s="74">
        <f t="shared" si="11"/>
        <v>2026</v>
      </c>
      <c r="C103" s="74">
        <f t="shared" si="12"/>
        <v>4</v>
      </c>
      <c r="D103" t="str">
        <f t="shared" si="13"/>
        <v>April</v>
      </c>
      <c r="E103" s="74" t="str">
        <f t="shared" si="14"/>
        <v>Q2</v>
      </c>
      <c r="F103" s="74">
        <f t="shared" si="15"/>
        <v>15</v>
      </c>
      <c r="G103" s="73">
        <f t="shared" si="16"/>
        <v>46118</v>
      </c>
      <c r="H103" s="73">
        <f t="shared" si="17"/>
        <v>46124</v>
      </c>
      <c r="I103" t="str">
        <f t="shared" si="18"/>
        <v>Sunday</v>
      </c>
      <c r="J103" s="74">
        <f t="shared" si="19"/>
        <v>7</v>
      </c>
      <c r="K103" s="74" t="str">
        <f t="shared" si="20"/>
        <v>Apr-2026</v>
      </c>
    </row>
    <row r="104" spans="1:11">
      <c r="A104" s="73">
        <f t="shared" si="21"/>
        <v>46125</v>
      </c>
      <c r="B104" s="74">
        <f t="shared" si="11"/>
        <v>2026</v>
      </c>
      <c r="C104" s="74">
        <f t="shared" si="12"/>
        <v>4</v>
      </c>
      <c r="D104" t="str">
        <f t="shared" si="13"/>
        <v>April</v>
      </c>
      <c r="E104" s="74" t="str">
        <f t="shared" si="14"/>
        <v>Q2</v>
      </c>
      <c r="F104" s="74">
        <f t="shared" si="15"/>
        <v>16</v>
      </c>
      <c r="G104" s="73">
        <f t="shared" si="16"/>
        <v>46125</v>
      </c>
      <c r="H104" s="73">
        <f t="shared" si="17"/>
        <v>46131</v>
      </c>
      <c r="I104" t="str">
        <f t="shared" si="18"/>
        <v>Monday</v>
      </c>
      <c r="J104" s="74">
        <f t="shared" si="19"/>
        <v>1</v>
      </c>
      <c r="K104" s="74" t="str">
        <f t="shared" si="20"/>
        <v>Apr-2026</v>
      </c>
    </row>
    <row r="105" spans="1:11">
      <c r="A105" s="73">
        <f t="shared" si="21"/>
        <v>46126</v>
      </c>
      <c r="B105" s="74">
        <f t="shared" si="11"/>
        <v>2026</v>
      </c>
      <c r="C105" s="74">
        <f t="shared" si="12"/>
        <v>4</v>
      </c>
      <c r="D105" t="str">
        <f t="shared" si="13"/>
        <v>April</v>
      </c>
      <c r="E105" s="74" t="str">
        <f t="shared" si="14"/>
        <v>Q2</v>
      </c>
      <c r="F105" s="74">
        <f t="shared" si="15"/>
        <v>16</v>
      </c>
      <c r="G105" s="73">
        <f t="shared" si="16"/>
        <v>46125</v>
      </c>
      <c r="H105" s="73">
        <f t="shared" si="17"/>
        <v>46131</v>
      </c>
      <c r="I105" t="str">
        <f t="shared" si="18"/>
        <v>Tuesday</v>
      </c>
      <c r="J105" s="74">
        <f t="shared" si="19"/>
        <v>2</v>
      </c>
      <c r="K105" s="74" t="str">
        <f t="shared" si="20"/>
        <v>Apr-2026</v>
      </c>
    </row>
    <row r="106" spans="1:11">
      <c r="A106" s="73">
        <f t="shared" si="21"/>
        <v>46127</v>
      </c>
      <c r="B106" s="74">
        <f t="shared" si="11"/>
        <v>2026</v>
      </c>
      <c r="C106" s="74">
        <f t="shared" si="12"/>
        <v>4</v>
      </c>
      <c r="D106" t="str">
        <f t="shared" si="13"/>
        <v>April</v>
      </c>
      <c r="E106" s="74" t="str">
        <f t="shared" si="14"/>
        <v>Q2</v>
      </c>
      <c r="F106" s="74">
        <f t="shared" si="15"/>
        <v>16</v>
      </c>
      <c r="G106" s="73">
        <f t="shared" si="16"/>
        <v>46125</v>
      </c>
      <c r="H106" s="73">
        <f t="shared" si="17"/>
        <v>46131</v>
      </c>
      <c r="I106" t="str">
        <f t="shared" si="18"/>
        <v>Wednesday</v>
      </c>
      <c r="J106" s="74">
        <f t="shared" si="19"/>
        <v>3</v>
      </c>
      <c r="K106" s="74" t="str">
        <f t="shared" si="20"/>
        <v>Apr-2026</v>
      </c>
    </row>
    <row r="107" spans="1:11">
      <c r="A107" s="73">
        <f t="shared" si="21"/>
        <v>46128</v>
      </c>
      <c r="B107" s="74">
        <f t="shared" si="11"/>
        <v>2026</v>
      </c>
      <c r="C107" s="74">
        <f t="shared" si="12"/>
        <v>4</v>
      </c>
      <c r="D107" t="str">
        <f t="shared" si="13"/>
        <v>April</v>
      </c>
      <c r="E107" s="74" t="str">
        <f t="shared" si="14"/>
        <v>Q2</v>
      </c>
      <c r="F107" s="74">
        <f t="shared" si="15"/>
        <v>16</v>
      </c>
      <c r="G107" s="73">
        <f t="shared" si="16"/>
        <v>46125</v>
      </c>
      <c r="H107" s="73">
        <f t="shared" si="17"/>
        <v>46131</v>
      </c>
      <c r="I107" t="str">
        <f t="shared" si="18"/>
        <v>Thursday</v>
      </c>
      <c r="J107" s="74">
        <f t="shared" si="19"/>
        <v>4</v>
      </c>
      <c r="K107" s="74" t="str">
        <f t="shared" si="20"/>
        <v>Apr-2026</v>
      </c>
    </row>
    <row r="108" spans="1:11">
      <c r="A108" s="73">
        <f t="shared" si="21"/>
        <v>46129</v>
      </c>
      <c r="B108" s="74">
        <f t="shared" si="11"/>
        <v>2026</v>
      </c>
      <c r="C108" s="74">
        <f t="shared" si="12"/>
        <v>4</v>
      </c>
      <c r="D108" t="str">
        <f t="shared" si="13"/>
        <v>April</v>
      </c>
      <c r="E108" s="74" t="str">
        <f t="shared" si="14"/>
        <v>Q2</v>
      </c>
      <c r="F108" s="74">
        <f t="shared" si="15"/>
        <v>16</v>
      </c>
      <c r="G108" s="73">
        <f t="shared" si="16"/>
        <v>46125</v>
      </c>
      <c r="H108" s="73">
        <f t="shared" si="17"/>
        <v>46131</v>
      </c>
      <c r="I108" t="str">
        <f t="shared" si="18"/>
        <v>Friday</v>
      </c>
      <c r="J108" s="74">
        <f t="shared" si="19"/>
        <v>5</v>
      </c>
      <c r="K108" s="74" t="str">
        <f t="shared" si="20"/>
        <v>Apr-2026</v>
      </c>
    </row>
    <row r="109" spans="1:11">
      <c r="A109" s="73">
        <f t="shared" si="21"/>
        <v>46130</v>
      </c>
      <c r="B109" s="74">
        <f t="shared" si="11"/>
        <v>2026</v>
      </c>
      <c r="C109" s="74">
        <f t="shared" si="12"/>
        <v>4</v>
      </c>
      <c r="D109" t="str">
        <f t="shared" si="13"/>
        <v>April</v>
      </c>
      <c r="E109" s="74" t="str">
        <f t="shared" si="14"/>
        <v>Q2</v>
      </c>
      <c r="F109" s="74">
        <f t="shared" si="15"/>
        <v>16</v>
      </c>
      <c r="G109" s="73">
        <f t="shared" si="16"/>
        <v>46125</v>
      </c>
      <c r="H109" s="73">
        <f t="shared" si="17"/>
        <v>46131</v>
      </c>
      <c r="I109" t="str">
        <f t="shared" si="18"/>
        <v>Saturday</v>
      </c>
      <c r="J109" s="74">
        <f t="shared" si="19"/>
        <v>6</v>
      </c>
      <c r="K109" s="74" t="str">
        <f t="shared" si="20"/>
        <v>Apr-2026</v>
      </c>
    </row>
    <row r="110" spans="1:11">
      <c r="A110" s="73">
        <f t="shared" si="21"/>
        <v>46131</v>
      </c>
      <c r="B110" s="74">
        <f t="shared" si="11"/>
        <v>2026</v>
      </c>
      <c r="C110" s="74">
        <f t="shared" si="12"/>
        <v>4</v>
      </c>
      <c r="D110" t="str">
        <f t="shared" si="13"/>
        <v>April</v>
      </c>
      <c r="E110" s="74" t="str">
        <f t="shared" si="14"/>
        <v>Q2</v>
      </c>
      <c r="F110" s="74">
        <f t="shared" si="15"/>
        <v>16</v>
      </c>
      <c r="G110" s="73">
        <f t="shared" si="16"/>
        <v>46125</v>
      </c>
      <c r="H110" s="73">
        <f t="shared" si="17"/>
        <v>46131</v>
      </c>
      <c r="I110" t="str">
        <f t="shared" si="18"/>
        <v>Sunday</v>
      </c>
      <c r="J110" s="74">
        <f t="shared" si="19"/>
        <v>7</v>
      </c>
      <c r="K110" s="74" t="str">
        <f t="shared" si="20"/>
        <v>Apr-2026</v>
      </c>
    </row>
    <row r="111" spans="1:11">
      <c r="A111" s="73">
        <f t="shared" si="21"/>
        <v>46132</v>
      </c>
      <c r="B111" s="74">
        <f t="shared" si="11"/>
        <v>2026</v>
      </c>
      <c r="C111" s="74">
        <f t="shared" si="12"/>
        <v>4</v>
      </c>
      <c r="D111" t="str">
        <f t="shared" si="13"/>
        <v>April</v>
      </c>
      <c r="E111" s="74" t="str">
        <f t="shared" si="14"/>
        <v>Q2</v>
      </c>
      <c r="F111" s="74">
        <f t="shared" si="15"/>
        <v>17</v>
      </c>
      <c r="G111" s="73">
        <f t="shared" si="16"/>
        <v>46132</v>
      </c>
      <c r="H111" s="73">
        <f t="shared" si="17"/>
        <v>46138</v>
      </c>
      <c r="I111" t="str">
        <f t="shared" si="18"/>
        <v>Monday</v>
      </c>
      <c r="J111" s="74">
        <f t="shared" si="19"/>
        <v>1</v>
      </c>
      <c r="K111" s="74" t="str">
        <f t="shared" si="20"/>
        <v>Apr-2026</v>
      </c>
    </row>
    <row r="112" spans="1:11">
      <c r="A112" s="73">
        <f t="shared" si="21"/>
        <v>46133</v>
      </c>
      <c r="B112" s="74">
        <f t="shared" si="11"/>
        <v>2026</v>
      </c>
      <c r="C112" s="74">
        <f t="shared" si="12"/>
        <v>4</v>
      </c>
      <c r="D112" t="str">
        <f t="shared" si="13"/>
        <v>April</v>
      </c>
      <c r="E112" s="74" t="str">
        <f t="shared" si="14"/>
        <v>Q2</v>
      </c>
      <c r="F112" s="74">
        <f t="shared" si="15"/>
        <v>17</v>
      </c>
      <c r="G112" s="73">
        <f t="shared" si="16"/>
        <v>46132</v>
      </c>
      <c r="H112" s="73">
        <f t="shared" si="17"/>
        <v>46138</v>
      </c>
      <c r="I112" t="str">
        <f t="shared" si="18"/>
        <v>Tuesday</v>
      </c>
      <c r="J112" s="74">
        <f t="shared" si="19"/>
        <v>2</v>
      </c>
      <c r="K112" s="74" t="str">
        <f t="shared" si="20"/>
        <v>Apr-2026</v>
      </c>
    </row>
    <row r="113" spans="1:11">
      <c r="A113" s="73">
        <f t="shared" si="21"/>
        <v>46134</v>
      </c>
      <c r="B113" s="74">
        <f t="shared" si="11"/>
        <v>2026</v>
      </c>
      <c r="C113" s="74">
        <f t="shared" si="12"/>
        <v>4</v>
      </c>
      <c r="D113" t="str">
        <f t="shared" si="13"/>
        <v>April</v>
      </c>
      <c r="E113" s="74" t="str">
        <f t="shared" si="14"/>
        <v>Q2</v>
      </c>
      <c r="F113" s="74">
        <f t="shared" si="15"/>
        <v>17</v>
      </c>
      <c r="G113" s="73">
        <f t="shared" si="16"/>
        <v>46132</v>
      </c>
      <c r="H113" s="73">
        <f t="shared" si="17"/>
        <v>46138</v>
      </c>
      <c r="I113" t="str">
        <f t="shared" si="18"/>
        <v>Wednesday</v>
      </c>
      <c r="J113" s="74">
        <f t="shared" si="19"/>
        <v>3</v>
      </c>
      <c r="K113" s="74" t="str">
        <f t="shared" si="20"/>
        <v>Apr-2026</v>
      </c>
    </row>
    <row r="114" spans="1:11">
      <c r="A114" s="73">
        <f t="shared" si="21"/>
        <v>46135</v>
      </c>
      <c r="B114" s="74">
        <f t="shared" si="11"/>
        <v>2026</v>
      </c>
      <c r="C114" s="74">
        <f t="shared" si="12"/>
        <v>4</v>
      </c>
      <c r="D114" t="str">
        <f t="shared" si="13"/>
        <v>April</v>
      </c>
      <c r="E114" s="74" t="str">
        <f t="shared" si="14"/>
        <v>Q2</v>
      </c>
      <c r="F114" s="74">
        <f t="shared" si="15"/>
        <v>17</v>
      </c>
      <c r="G114" s="73">
        <f t="shared" si="16"/>
        <v>46132</v>
      </c>
      <c r="H114" s="73">
        <f t="shared" si="17"/>
        <v>46138</v>
      </c>
      <c r="I114" t="str">
        <f t="shared" si="18"/>
        <v>Thursday</v>
      </c>
      <c r="J114" s="74">
        <f t="shared" si="19"/>
        <v>4</v>
      </c>
      <c r="K114" s="74" t="str">
        <f t="shared" si="20"/>
        <v>Apr-2026</v>
      </c>
    </row>
    <row r="115" spans="1:11">
      <c r="A115" s="73">
        <f t="shared" si="21"/>
        <v>46136</v>
      </c>
      <c r="B115" s="74">
        <f t="shared" si="11"/>
        <v>2026</v>
      </c>
      <c r="C115" s="74">
        <f t="shared" si="12"/>
        <v>4</v>
      </c>
      <c r="D115" t="str">
        <f t="shared" si="13"/>
        <v>April</v>
      </c>
      <c r="E115" s="74" t="str">
        <f t="shared" si="14"/>
        <v>Q2</v>
      </c>
      <c r="F115" s="74">
        <f t="shared" si="15"/>
        <v>17</v>
      </c>
      <c r="G115" s="73">
        <f t="shared" si="16"/>
        <v>46132</v>
      </c>
      <c r="H115" s="73">
        <f t="shared" si="17"/>
        <v>46138</v>
      </c>
      <c r="I115" t="str">
        <f t="shared" si="18"/>
        <v>Friday</v>
      </c>
      <c r="J115" s="74">
        <f t="shared" si="19"/>
        <v>5</v>
      </c>
      <c r="K115" s="74" t="str">
        <f t="shared" si="20"/>
        <v>Apr-2026</v>
      </c>
    </row>
    <row r="116" spans="1:11">
      <c r="A116" s="73">
        <f t="shared" si="21"/>
        <v>46137</v>
      </c>
      <c r="B116" s="74">
        <f t="shared" si="11"/>
        <v>2026</v>
      </c>
      <c r="C116" s="74">
        <f t="shared" si="12"/>
        <v>4</v>
      </c>
      <c r="D116" t="str">
        <f t="shared" si="13"/>
        <v>April</v>
      </c>
      <c r="E116" s="74" t="str">
        <f t="shared" si="14"/>
        <v>Q2</v>
      </c>
      <c r="F116" s="74">
        <f t="shared" si="15"/>
        <v>17</v>
      </c>
      <c r="G116" s="73">
        <f t="shared" si="16"/>
        <v>46132</v>
      </c>
      <c r="H116" s="73">
        <f t="shared" si="17"/>
        <v>46138</v>
      </c>
      <c r="I116" t="str">
        <f t="shared" si="18"/>
        <v>Saturday</v>
      </c>
      <c r="J116" s="74">
        <f t="shared" si="19"/>
        <v>6</v>
      </c>
      <c r="K116" s="74" t="str">
        <f t="shared" si="20"/>
        <v>Apr-2026</v>
      </c>
    </row>
    <row r="117" spans="1:11">
      <c r="A117" s="73">
        <f t="shared" si="21"/>
        <v>46138</v>
      </c>
      <c r="B117" s="74">
        <f t="shared" si="11"/>
        <v>2026</v>
      </c>
      <c r="C117" s="74">
        <f t="shared" si="12"/>
        <v>4</v>
      </c>
      <c r="D117" t="str">
        <f t="shared" si="13"/>
        <v>April</v>
      </c>
      <c r="E117" s="74" t="str">
        <f t="shared" si="14"/>
        <v>Q2</v>
      </c>
      <c r="F117" s="74">
        <f t="shared" si="15"/>
        <v>17</v>
      </c>
      <c r="G117" s="73">
        <f t="shared" si="16"/>
        <v>46132</v>
      </c>
      <c r="H117" s="73">
        <f t="shared" si="17"/>
        <v>46138</v>
      </c>
      <c r="I117" t="str">
        <f t="shared" si="18"/>
        <v>Sunday</v>
      </c>
      <c r="J117" s="74">
        <f t="shared" si="19"/>
        <v>7</v>
      </c>
      <c r="K117" s="74" t="str">
        <f t="shared" si="20"/>
        <v>Apr-2026</v>
      </c>
    </row>
    <row r="118" spans="1:11">
      <c r="A118" s="73">
        <f t="shared" si="21"/>
        <v>46139</v>
      </c>
      <c r="B118" s="74">
        <f t="shared" si="11"/>
        <v>2026</v>
      </c>
      <c r="C118" s="74">
        <f t="shared" si="12"/>
        <v>4</v>
      </c>
      <c r="D118" t="str">
        <f t="shared" si="13"/>
        <v>April</v>
      </c>
      <c r="E118" s="74" t="str">
        <f t="shared" si="14"/>
        <v>Q2</v>
      </c>
      <c r="F118" s="74">
        <f t="shared" si="15"/>
        <v>18</v>
      </c>
      <c r="G118" s="73">
        <f t="shared" si="16"/>
        <v>46139</v>
      </c>
      <c r="H118" s="73">
        <f t="shared" si="17"/>
        <v>46145</v>
      </c>
      <c r="I118" t="str">
        <f t="shared" si="18"/>
        <v>Monday</v>
      </c>
      <c r="J118" s="74">
        <f t="shared" si="19"/>
        <v>1</v>
      </c>
      <c r="K118" s="74" t="str">
        <f t="shared" si="20"/>
        <v>Apr-2026</v>
      </c>
    </row>
    <row r="119" spans="1:11">
      <c r="A119" s="73">
        <f t="shared" si="21"/>
        <v>46140</v>
      </c>
      <c r="B119" s="74">
        <f t="shared" si="11"/>
        <v>2026</v>
      </c>
      <c r="C119" s="74">
        <f t="shared" si="12"/>
        <v>4</v>
      </c>
      <c r="D119" t="str">
        <f t="shared" si="13"/>
        <v>April</v>
      </c>
      <c r="E119" s="74" t="str">
        <f t="shared" si="14"/>
        <v>Q2</v>
      </c>
      <c r="F119" s="74">
        <f t="shared" si="15"/>
        <v>18</v>
      </c>
      <c r="G119" s="73">
        <f t="shared" si="16"/>
        <v>46139</v>
      </c>
      <c r="H119" s="73">
        <f t="shared" si="17"/>
        <v>46145</v>
      </c>
      <c r="I119" t="str">
        <f t="shared" si="18"/>
        <v>Tuesday</v>
      </c>
      <c r="J119" s="74">
        <f t="shared" si="19"/>
        <v>2</v>
      </c>
      <c r="K119" s="74" t="str">
        <f t="shared" si="20"/>
        <v>Apr-2026</v>
      </c>
    </row>
    <row r="120" spans="1:11">
      <c r="A120" s="73">
        <f t="shared" si="21"/>
        <v>46141</v>
      </c>
      <c r="B120" s="74">
        <f t="shared" si="11"/>
        <v>2026</v>
      </c>
      <c r="C120" s="74">
        <f t="shared" si="12"/>
        <v>4</v>
      </c>
      <c r="D120" t="str">
        <f t="shared" si="13"/>
        <v>April</v>
      </c>
      <c r="E120" s="74" t="str">
        <f t="shared" si="14"/>
        <v>Q2</v>
      </c>
      <c r="F120" s="74">
        <f t="shared" si="15"/>
        <v>18</v>
      </c>
      <c r="G120" s="73">
        <f t="shared" si="16"/>
        <v>46139</v>
      </c>
      <c r="H120" s="73">
        <f t="shared" si="17"/>
        <v>46145</v>
      </c>
      <c r="I120" t="str">
        <f t="shared" si="18"/>
        <v>Wednesday</v>
      </c>
      <c r="J120" s="74">
        <f t="shared" si="19"/>
        <v>3</v>
      </c>
      <c r="K120" s="74" t="str">
        <f t="shared" si="20"/>
        <v>Apr-2026</v>
      </c>
    </row>
    <row r="121" spans="1:11">
      <c r="A121" s="73">
        <f t="shared" si="21"/>
        <v>46142</v>
      </c>
      <c r="B121" s="74">
        <f t="shared" si="11"/>
        <v>2026</v>
      </c>
      <c r="C121" s="74">
        <f t="shared" si="12"/>
        <v>4</v>
      </c>
      <c r="D121" t="str">
        <f t="shared" si="13"/>
        <v>April</v>
      </c>
      <c r="E121" s="74" t="str">
        <f t="shared" si="14"/>
        <v>Q2</v>
      </c>
      <c r="F121" s="74">
        <f t="shared" si="15"/>
        <v>18</v>
      </c>
      <c r="G121" s="73">
        <f t="shared" si="16"/>
        <v>46139</v>
      </c>
      <c r="H121" s="73">
        <f t="shared" si="17"/>
        <v>46145</v>
      </c>
      <c r="I121" t="str">
        <f t="shared" si="18"/>
        <v>Thursday</v>
      </c>
      <c r="J121" s="74">
        <f t="shared" si="19"/>
        <v>4</v>
      </c>
      <c r="K121" s="74" t="str">
        <f t="shared" si="20"/>
        <v>Apr-2026</v>
      </c>
    </row>
    <row r="122" spans="1:11">
      <c r="A122" s="73">
        <f t="shared" si="21"/>
        <v>46143</v>
      </c>
      <c r="B122" s="74">
        <f t="shared" si="11"/>
        <v>2026</v>
      </c>
      <c r="C122" s="74">
        <f t="shared" si="12"/>
        <v>5</v>
      </c>
      <c r="D122" t="str">
        <f t="shared" si="13"/>
        <v>May</v>
      </c>
      <c r="E122" s="74" t="str">
        <f t="shared" si="14"/>
        <v>Q2</v>
      </c>
      <c r="F122" s="74">
        <f t="shared" si="15"/>
        <v>18</v>
      </c>
      <c r="G122" s="73">
        <f t="shared" si="16"/>
        <v>46139</v>
      </c>
      <c r="H122" s="73">
        <f t="shared" si="17"/>
        <v>46145</v>
      </c>
      <c r="I122" t="str">
        <f t="shared" si="18"/>
        <v>Friday</v>
      </c>
      <c r="J122" s="74">
        <f t="shared" si="19"/>
        <v>5</v>
      </c>
      <c r="K122" s="74" t="str">
        <f t="shared" si="20"/>
        <v>May-2026</v>
      </c>
    </row>
    <row r="123" spans="1:11">
      <c r="A123" s="73">
        <f t="shared" si="21"/>
        <v>46144</v>
      </c>
      <c r="B123" s="74">
        <f t="shared" si="11"/>
        <v>2026</v>
      </c>
      <c r="C123" s="74">
        <f t="shared" si="12"/>
        <v>5</v>
      </c>
      <c r="D123" t="str">
        <f t="shared" si="13"/>
        <v>May</v>
      </c>
      <c r="E123" s="74" t="str">
        <f t="shared" si="14"/>
        <v>Q2</v>
      </c>
      <c r="F123" s="74">
        <f t="shared" si="15"/>
        <v>18</v>
      </c>
      <c r="G123" s="73">
        <f t="shared" si="16"/>
        <v>46139</v>
      </c>
      <c r="H123" s="73">
        <f t="shared" si="17"/>
        <v>46145</v>
      </c>
      <c r="I123" t="str">
        <f t="shared" si="18"/>
        <v>Saturday</v>
      </c>
      <c r="J123" s="74">
        <f t="shared" si="19"/>
        <v>6</v>
      </c>
      <c r="K123" s="74" t="str">
        <f t="shared" si="20"/>
        <v>May-2026</v>
      </c>
    </row>
    <row r="124" spans="1:11">
      <c r="A124" s="73">
        <f t="shared" si="21"/>
        <v>46145</v>
      </c>
      <c r="B124" s="74">
        <f t="shared" si="11"/>
        <v>2026</v>
      </c>
      <c r="C124" s="74">
        <f t="shared" si="12"/>
        <v>5</v>
      </c>
      <c r="D124" t="str">
        <f t="shared" si="13"/>
        <v>May</v>
      </c>
      <c r="E124" s="74" t="str">
        <f t="shared" si="14"/>
        <v>Q2</v>
      </c>
      <c r="F124" s="74">
        <f t="shared" si="15"/>
        <v>18</v>
      </c>
      <c r="G124" s="73">
        <f t="shared" si="16"/>
        <v>46139</v>
      </c>
      <c r="H124" s="73">
        <f t="shared" si="17"/>
        <v>46145</v>
      </c>
      <c r="I124" t="str">
        <f t="shared" si="18"/>
        <v>Sunday</v>
      </c>
      <c r="J124" s="74">
        <f t="shared" si="19"/>
        <v>7</v>
      </c>
      <c r="K124" s="74" t="str">
        <f t="shared" si="20"/>
        <v>May-2026</v>
      </c>
    </row>
    <row r="125" spans="1:11">
      <c r="A125" s="73">
        <f t="shared" si="21"/>
        <v>46146</v>
      </c>
      <c r="B125" s="74">
        <f t="shared" si="11"/>
        <v>2026</v>
      </c>
      <c r="C125" s="74">
        <f t="shared" si="12"/>
        <v>5</v>
      </c>
      <c r="D125" t="str">
        <f t="shared" si="13"/>
        <v>May</v>
      </c>
      <c r="E125" s="74" t="str">
        <f t="shared" si="14"/>
        <v>Q2</v>
      </c>
      <c r="F125" s="74">
        <f t="shared" si="15"/>
        <v>19</v>
      </c>
      <c r="G125" s="73">
        <f t="shared" si="16"/>
        <v>46146</v>
      </c>
      <c r="H125" s="73">
        <f t="shared" si="17"/>
        <v>46152</v>
      </c>
      <c r="I125" t="str">
        <f t="shared" si="18"/>
        <v>Monday</v>
      </c>
      <c r="J125" s="74">
        <f t="shared" si="19"/>
        <v>1</v>
      </c>
      <c r="K125" s="74" t="str">
        <f t="shared" si="20"/>
        <v>May-2026</v>
      </c>
    </row>
    <row r="126" spans="1:11">
      <c r="A126" s="73">
        <f t="shared" si="21"/>
        <v>46147</v>
      </c>
      <c r="B126" s="74">
        <f t="shared" si="11"/>
        <v>2026</v>
      </c>
      <c r="C126" s="74">
        <f t="shared" si="12"/>
        <v>5</v>
      </c>
      <c r="D126" t="str">
        <f t="shared" si="13"/>
        <v>May</v>
      </c>
      <c r="E126" s="74" t="str">
        <f t="shared" si="14"/>
        <v>Q2</v>
      </c>
      <c r="F126" s="74">
        <f t="shared" si="15"/>
        <v>19</v>
      </c>
      <c r="G126" s="73">
        <f t="shared" si="16"/>
        <v>46146</v>
      </c>
      <c r="H126" s="73">
        <f t="shared" si="17"/>
        <v>46152</v>
      </c>
      <c r="I126" t="str">
        <f t="shared" si="18"/>
        <v>Tuesday</v>
      </c>
      <c r="J126" s="74">
        <f t="shared" si="19"/>
        <v>2</v>
      </c>
      <c r="K126" s="74" t="str">
        <f t="shared" si="20"/>
        <v>May-2026</v>
      </c>
    </row>
    <row r="127" spans="1:11">
      <c r="A127" s="73">
        <f t="shared" si="21"/>
        <v>46148</v>
      </c>
      <c r="B127" s="74">
        <f t="shared" si="11"/>
        <v>2026</v>
      </c>
      <c r="C127" s="74">
        <f t="shared" si="12"/>
        <v>5</v>
      </c>
      <c r="D127" t="str">
        <f t="shared" si="13"/>
        <v>May</v>
      </c>
      <c r="E127" s="74" t="str">
        <f t="shared" si="14"/>
        <v>Q2</v>
      </c>
      <c r="F127" s="74">
        <f t="shared" si="15"/>
        <v>19</v>
      </c>
      <c r="G127" s="73">
        <f t="shared" si="16"/>
        <v>46146</v>
      </c>
      <c r="H127" s="73">
        <f t="shared" si="17"/>
        <v>46152</v>
      </c>
      <c r="I127" t="str">
        <f t="shared" si="18"/>
        <v>Wednesday</v>
      </c>
      <c r="J127" s="74">
        <f t="shared" si="19"/>
        <v>3</v>
      </c>
      <c r="K127" s="74" t="str">
        <f t="shared" si="20"/>
        <v>May-2026</v>
      </c>
    </row>
    <row r="128" spans="1:11">
      <c r="A128" s="73">
        <f t="shared" si="21"/>
        <v>46149</v>
      </c>
      <c r="B128" s="74">
        <f t="shared" si="11"/>
        <v>2026</v>
      </c>
      <c r="C128" s="74">
        <f t="shared" si="12"/>
        <v>5</v>
      </c>
      <c r="D128" t="str">
        <f t="shared" si="13"/>
        <v>May</v>
      </c>
      <c r="E128" s="74" t="str">
        <f t="shared" si="14"/>
        <v>Q2</v>
      </c>
      <c r="F128" s="74">
        <f t="shared" si="15"/>
        <v>19</v>
      </c>
      <c r="G128" s="73">
        <f t="shared" si="16"/>
        <v>46146</v>
      </c>
      <c r="H128" s="73">
        <f t="shared" si="17"/>
        <v>46152</v>
      </c>
      <c r="I128" t="str">
        <f t="shared" si="18"/>
        <v>Thursday</v>
      </c>
      <c r="J128" s="74">
        <f t="shared" si="19"/>
        <v>4</v>
      </c>
      <c r="K128" s="74" t="str">
        <f t="shared" si="20"/>
        <v>May-2026</v>
      </c>
    </row>
    <row r="129" spans="1:11">
      <c r="A129" s="73">
        <f t="shared" si="21"/>
        <v>46150</v>
      </c>
      <c r="B129" s="74">
        <f t="shared" si="11"/>
        <v>2026</v>
      </c>
      <c r="C129" s="74">
        <f t="shared" si="12"/>
        <v>5</v>
      </c>
      <c r="D129" t="str">
        <f t="shared" si="13"/>
        <v>May</v>
      </c>
      <c r="E129" s="74" t="str">
        <f t="shared" si="14"/>
        <v>Q2</v>
      </c>
      <c r="F129" s="74">
        <f t="shared" si="15"/>
        <v>19</v>
      </c>
      <c r="G129" s="73">
        <f t="shared" si="16"/>
        <v>46146</v>
      </c>
      <c r="H129" s="73">
        <f t="shared" si="17"/>
        <v>46152</v>
      </c>
      <c r="I129" t="str">
        <f t="shared" si="18"/>
        <v>Friday</v>
      </c>
      <c r="J129" s="74">
        <f t="shared" si="19"/>
        <v>5</v>
      </c>
      <c r="K129" s="74" t="str">
        <f t="shared" si="20"/>
        <v>May-2026</v>
      </c>
    </row>
    <row r="130" spans="1:11">
      <c r="A130" s="73">
        <f t="shared" si="21"/>
        <v>46151</v>
      </c>
      <c r="B130" s="74">
        <f t="shared" si="11"/>
        <v>2026</v>
      </c>
      <c r="C130" s="74">
        <f t="shared" si="12"/>
        <v>5</v>
      </c>
      <c r="D130" t="str">
        <f t="shared" si="13"/>
        <v>May</v>
      </c>
      <c r="E130" s="74" t="str">
        <f t="shared" si="14"/>
        <v>Q2</v>
      </c>
      <c r="F130" s="74">
        <f t="shared" si="15"/>
        <v>19</v>
      </c>
      <c r="G130" s="73">
        <f t="shared" si="16"/>
        <v>46146</v>
      </c>
      <c r="H130" s="73">
        <f t="shared" si="17"/>
        <v>46152</v>
      </c>
      <c r="I130" t="str">
        <f t="shared" si="18"/>
        <v>Saturday</v>
      </c>
      <c r="J130" s="74">
        <f t="shared" si="19"/>
        <v>6</v>
      </c>
      <c r="K130" s="74" t="str">
        <f t="shared" si="20"/>
        <v>May-2026</v>
      </c>
    </row>
    <row r="131" spans="1:11">
      <c r="A131" s="73">
        <f t="shared" si="21"/>
        <v>46152</v>
      </c>
      <c r="B131" s="74">
        <f t="shared" ref="B131:B194" si="22">YEAR(A131)</f>
        <v>2026</v>
      </c>
      <c r="C131" s="74">
        <f t="shared" ref="C131:C194" si="23">MONTH(A131)</f>
        <v>5</v>
      </c>
      <c r="D131" t="str">
        <f t="shared" ref="D131:D194" si="24">TEXT(A131,"mmmm")</f>
        <v>May</v>
      </c>
      <c r="E131" s="74" t="str">
        <f t="shared" ref="E131:E194" si="25">"Q"&amp;ROUNDUP(MONTH(A131)/3,0)</f>
        <v>Q2</v>
      </c>
      <c r="F131" s="74">
        <f t="shared" ref="F131:F194" si="26">WEEKNUM(A131,2)</f>
        <v>19</v>
      </c>
      <c r="G131" s="73">
        <f t="shared" ref="G131:G194" si="27">A131-WEEKDAY(A131,2)+1</f>
        <v>46146</v>
      </c>
      <c r="H131" s="73">
        <f t="shared" ref="H131:H194" si="28">G131+6</f>
        <v>46152</v>
      </c>
      <c r="I131" t="str">
        <f t="shared" ref="I131:I194" si="29">TEXT(A131,"dddd")</f>
        <v>Sunday</v>
      </c>
      <c r="J131" s="74">
        <f t="shared" ref="J131:J194" si="30">WEEKDAY(A131,2)</f>
        <v>7</v>
      </c>
      <c r="K131" s="74" t="str">
        <f t="shared" ref="K131:K194" si="31">TEXT(A131,"mmm-yyyy")</f>
        <v>May-2026</v>
      </c>
    </row>
    <row r="132" spans="1:11">
      <c r="A132" s="73">
        <f t="shared" ref="A132:A195" si="32">A131+1</f>
        <v>46153</v>
      </c>
      <c r="B132" s="74">
        <f t="shared" si="22"/>
        <v>2026</v>
      </c>
      <c r="C132" s="74">
        <f t="shared" si="23"/>
        <v>5</v>
      </c>
      <c r="D132" t="str">
        <f t="shared" si="24"/>
        <v>May</v>
      </c>
      <c r="E132" s="74" t="str">
        <f t="shared" si="25"/>
        <v>Q2</v>
      </c>
      <c r="F132" s="74">
        <f t="shared" si="26"/>
        <v>20</v>
      </c>
      <c r="G132" s="73">
        <f t="shared" si="27"/>
        <v>46153</v>
      </c>
      <c r="H132" s="73">
        <f t="shared" si="28"/>
        <v>46159</v>
      </c>
      <c r="I132" t="str">
        <f t="shared" si="29"/>
        <v>Monday</v>
      </c>
      <c r="J132" s="74">
        <f t="shared" si="30"/>
        <v>1</v>
      </c>
      <c r="K132" s="74" t="str">
        <f t="shared" si="31"/>
        <v>May-2026</v>
      </c>
    </row>
    <row r="133" spans="1:11">
      <c r="A133" s="73">
        <f t="shared" si="32"/>
        <v>46154</v>
      </c>
      <c r="B133" s="74">
        <f t="shared" si="22"/>
        <v>2026</v>
      </c>
      <c r="C133" s="74">
        <f t="shared" si="23"/>
        <v>5</v>
      </c>
      <c r="D133" t="str">
        <f t="shared" si="24"/>
        <v>May</v>
      </c>
      <c r="E133" s="74" t="str">
        <f t="shared" si="25"/>
        <v>Q2</v>
      </c>
      <c r="F133" s="74">
        <f t="shared" si="26"/>
        <v>20</v>
      </c>
      <c r="G133" s="73">
        <f t="shared" si="27"/>
        <v>46153</v>
      </c>
      <c r="H133" s="73">
        <f t="shared" si="28"/>
        <v>46159</v>
      </c>
      <c r="I133" t="str">
        <f t="shared" si="29"/>
        <v>Tuesday</v>
      </c>
      <c r="J133" s="74">
        <f t="shared" si="30"/>
        <v>2</v>
      </c>
      <c r="K133" s="74" t="str">
        <f t="shared" si="31"/>
        <v>May-2026</v>
      </c>
    </row>
    <row r="134" spans="1:11">
      <c r="A134" s="73">
        <f t="shared" si="32"/>
        <v>46155</v>
      </c>
      <c r="B134" s="74">
        <f t="shared" si="22"/>
        <v>2026</v>
      </c>
      <c r="C134" s="74">
        <f t="shared" si="23"/>
        <v>5</v>
      </c>
      <c r="D134" t="str">
        <f t="shared" si="24"/>
        <v>May</v>
      </c>
      <c r="E134" s="74" t="str">
        <f t="shared" si="25"/>
        <v>Q2</v>
      </c>
      <c r="F134" s="74">
        <f t="shared" si="26"/>
        <v>20</v>
      </c>
      <c r="G134" s="73">
        <f t="shared" si="27"/>
        <v>46153</v>
      </c>
      <c r="H134" s="73">
        <f t="shared" si="28"/>
        <v>46159</v>
      </c>
      <c r="I134" t="str">
        <f t="shared" si="29"/>
        <v>Wednesday</v>
      </c>
      <c r="J134" s="74">
        <f t="shared" si="30"/>
        <v>3</v>
      </c>
      <c r="K134" s="74" t="str">
        <f t="shared" si="31"/>
        <v>May-2026</v>
      </c>
    </row>
    <row r="135" spans="1:11">
      <c r="A135" s="73">
        <f t="shared" si="32"/>
        <v>46156</v>
      </c>
      <c r="B135" s="74">
        <f t="shared" si="22"/>
        <v>2026</v>
      </c>
      <c r="C135" s="74">
        <f t="shared" si="23"/>
        <v>5</v>
      </c>
      <c r="D135" t="str">
        <f t="shared" si="24"/>
        <v>May</v>
      </c>
      <c r="E135" s="74" t="str">
        <f t="shared" si="25"/>
        <v>Q2</v>
      </c>
      <c r="F135" s="74">
        <f t="shared" si="26"/>
        <v>20</v>
      </c>
      <c r="G135" s="73">
        <f t="shared" si="27"/>
        <v>46153</v>
      </c>
      <c r="H135" s="73">
        <f t="shared" si="28"/>
        <v>46159</v>
      </c>
      <c r="I135" t="str">
        <f t="shared" si="29"/>
        <v>Thursday</v>
      </c>
      <c r="J135" s="74">
        <f t="shared" si="30"/>
        <v>4</v>
      </c>
      <c r="K135" s="74" t="str">
        <f t="shared" si="31"/>
        <v>May-2026</v>
      </c>
    </row>
    <row r="136" spans="1:11">
      <c r="A136" s="73">
        <f t="shared" si="32"/>
        <v>46157</v>
      </c>
      <c r="B136" s="74">
        <f t="shared" si="22"/>
        <v>2026</v>
      </c>
      <c r="C136" s="74">
        <f t="shared" si="23"/>
        <v>5</v>
      </c>
      <c r="D136" t="str">
        <f t="shared" si="24"/>
        <v>May</v>
      </c>
      <c r="E136" s="74" t="str">
        <f t="shared" si="25"/>
        <v>Q2</v>
      </c>
      <c r="F136" s="74">
        <f t="shared" si="26"/>
        <v>20</v>
      </c>
      <c r="G136" s="73">
        <f t="shared" si="27"/>
        <v>46153</v>
      </c>
      <c r="H136" s="73">
        <f t="shared" si="28"/>
        <v>46159</v>
      </c>
      <c r="I136" t="str">
        <f t="shared" si="29"/>
        <v>Friday</v>
      </c>
      <c r="J136" s="74">
        <f t="shared" si="30"/>
        <v>5</v>
      </c>
      <c r="K136" s="74" t="str">
        <f t="shared" si="31"/>
        <v>May-2026</v>
      </c>
    </row>
    <row r="137" spans="1:11">
      <c r="A137" s="73">
        <f t="shared" si="32"/>
        <v>46158</v>
      </c>
      <c r="B137" s="74">
        <f t="shared" si="22"/>
        <v>2026</v>
      </c>
      <c r="C137" s="74">
        <f t="shared" si="23"/>
        <v>5</v>
      </c>
      <c r="D137" t="str">
        <f t="shared" si="24"/>
        <v>May</v>
      </c>
      <c r="E137" s="74" t="str">
        <f t="shared" si="25"/>
        <v>Q2</v>
      </c>
      <c r="F137" s="74">
        <f t="shared" si="26"/>
        <v>20</v>
      </c>
      <c r="G137" s="73">
        <f t="shared" si="27"/>
        <v>46153</v>
      </c>
      <c r="H137" s="73">
        <f t="shared" si="28"/>
        <v>46159</v>
      </c>
      <c r="I137" t="str">
        <f t="shared" si="29"/>
        <v>Saturday</v>
      </c>
      <c r="J137" s="74">
        <f t="shared" si="30"/>
        <v>6</v>
      </c>
      <c r="K137" s="74" t="str">
        <f t="shared" si="31"/>
        <v>May-2026</v>
      </c>
    </row>
    <row r="138" spans="1:11">
      <c r="A138" s="73">
        <f t="shared" si="32"/>
        <v>46159</v>
      </c>
      <c r="B138" s="74">
        <f t="shared" si="22"/>
        <v>2026</v>
      </c>
      <c r="C138" s="74">
        <f t="shared" si="23"/>
        <v>5</v>
      </c>
      <c r="D138" t="str">
        <f t="shared" si="24"/>
        <v>May</v>
      </c>
      <c r="E138" s="74" t="str">
        <f t="shared" si="25"/>
        <v>Q2</v>
      </c>
      <c r="F138" s="74">
        <f t="shared" si="26"/>
        <v>20</v>
      </c>
      <c r="G138" s="73">
        <f t="shared" si="27"/>
        <v>46153</v>
      </c>
      <c r="H138" s="73">
        <f t="shared" si="28"/>
        <v>46159</v>
      </c>
      <c r="I138" t="str">
        <f t="shared" si="29"/>
        <v>Sunday</v>
      </c>
      <c r="J138" s="74">
        <f t="shared" si="30"/>
        <v>7</v>
      </c>
      <c r="K138" s="74" t="str">
        <f t="shared" si="31"/>
        <v>May-2026</v>
      </c>
    </row>
    <row r="139" spans="1:11">
      <c r="A139" s="73">
        <f t="shared" si="32"/>
        <v>46160</v>
      </c>
      <c r="B139" s="74">
        <f t="shared" si="22"/>
        <v>2026</v>
      </c>
      <c r="C139" s="74">
        <f t="shared" si="23"/>
        <v>5</v>
      </c>
      <c r="D139" t="str">
        <f t="shared" si="24"/>
        <v>May</v>
      </c>
      <c r="E139" s="74" t="str">
        <f t="shared" si="25"/>
        <v>Q2</v>
      </c>
      <c r="F139" s="74">
        <f t="shared" si="26"/>
        <v>21</v>
      </c>
      <c r="G139" s="73">
        <f t="shared" si="27"/>
        <v>46160</v>
      </c>
      <c r="H139" s="73">
        <f t="shared" si="28"/>
        <v>46166</v>
      </c>
      <c r="I139" t="str">
        <f t="shared" si="29"/>
        <v>Monday</v>
      </c>
      <c r="J139" s="74">
        <f t="shared" si="30"/>
        <v>1</v>
      </c>
      <c r="K139" s="74" t="str">
        <f t="shared" si="31"/>
        <v>May-2026</v>
      </c>
    </row>
    <row r="140" spans="1:11">
      <c r="A140" s="73">
        <f t="shared" si="32"/>
        <v>46161</v>
      </c>
      <c r="B140" s="74">
        <f t="shared" si="22"/>
        <v>2026</v>
      </c>
      <c r="C140" s="74">
        <f t="shared" si="23"/>
        <v>5</v>
      </c>
      <c r="D140" t="str">
        <f t="shared" si="24"/>
        <v>May</v>
      </c>
      <c r="E140" s="74" t="str">
        <f t="shared" si="25"/>
        <v>Q2</v>
      </c>
      <c r="F140" s="74">
        <f t="shared" si="26"/>
        <v>21</v>
      </c>
      <c r="G140" s="73">
        <f t="shared" si="27"/>
        <v>46160</v>
      </c>
      <c r="H140" s="73">
        <f t="shared" si="28"/>
        <v>46166</v>
      </c>
      <c r="I140" t="str">
        <f t="shared" si="29"/>
        <v>Tuesday</v>
      </c>
      <c r="J140" s="74">
        <f t="shared" si="30"/>
        <v>2</v>
      </c>
      <c r="K140" s="74" t="str">
        <f t="shared" si="31"/>
        <v>May-2026</v>
      </c>
    </row>
    <row r="141" spans="1:11">
      <c r="A141" s="73">
        <f t="shared" si="32"/>
        <v>46162</v>
      </c>
      <c r="B141" s="74">
        <f t="shared" si="22"/>
        <v>2026</v>
      </c>
      <c r="C141" s="74">
        <f t="shared" si="23"/>
        <v>5</v>
      </c>
      <c r="D141" t="str">
        <f t="shared" si="24"/>
        <v>May</v>
      </c>
      <c r="E141" s="74" t="str">
        <f t="shared" si="25"/>
        <v>Q2</v>
      </c>
      <c r="F141" s="74">
        <f t="shared" si="26"/>
        <v>21</v>
      </c>
      <c r="G141" s="73">
        <f t="shared" si="27"/>
        <v>46160</v>
      </c>
      <c r="H141" s="73">
        <f t="shared" si="28"/>
        <v>46166</v>
      </c>
      <c r="I141" t="str">
        <f t="shared" si="29"/>
        <v>Wednesday</v>
      </c>
      <c r="J141" s="74">
        <f t="shared" si="30"/>
        <v>3</v>
      </c>
      <c r="K141" s="74" t="str">
        <f t="shared" si="31"/>
        <v>May-2026</v>
      </c>
    </row>
    <row r="142" spans="1:11">
      <c r="A142" s="73">
        <f t="shared" si="32"/>
        <v>46163</v>
      </c>
      <c r="B142" s="74">
        <f t="shared" si="22"/>
        <v>2026</v>
      </c>
      <c r="C142" s="74">
        <f t="shared" si="23"/>
        <v>5</v>
      </c>
      <c r="D142" t="str">
        <f t="shared" si="24"/>
        <v>May</v>
      </c>
      <c r="E142" s="74" t="str">
        <f t="shared" si="25"/>
        <v>Q2</v>
      </c>
      <c r="F142" s="74">
        <f t="shared" si="26"/>
        <v>21</v>
      </c>
      <c r="G142" s="73">
        <f t="shared" si="27"/>
        <v>46160</v>
      </c>
      <c r="H142" s="73">
        <f t="shared" si="28"/>
        <v>46166</v>
      </c>
      <c r="I142" t="str">
        <f t="shared" si="29"/>
        <v>Thursday</v>
      </c>
      <c r="J142" s="74">
        <f t="shared" si="30"/>
        <v>4</v>
      </c>
      <c r="K142" s="74" t="str">
        <f t="shared" si="31"/>
        <v>May-2026</v>
      </c>
    </row>
    <row r="143" spans="1:11">
      <c r="A143" s="73">
        <f t="shared" si="32"/>
        <v>46164</v>
      </c>
      <c r="B143" s="74">
        <f t="shared" si="22"/>
        <v>2026</v>
      </c>
      <c r="C143" s="74">
        <f t="shared" si="23"/>
        <v>5</v>
      </c>
      <c r="D143" t="str">
        <f t="shared" si="24"/>
        <v>May</v>
      </c>
      <c r="E143" s="74" t="str">
        <f t="shared" si="25"/>
        <v>Q2</v>
      </c>
      <c r="F143" s="74">
        <f t="shared" si="26"/>
        <v>21</v>
      </c>
      <c r="G143" s="73">
        <f t="shared" si="27"/>
        <v>46160</v>
      </c>
      <c r="H143" s="73">
        <f t="shared" si="28"/>
        <v>46166</v>
      </c>
      <c r="I143" t="str">
        <f t="shared" si="29"/>
        <v>Friday</v>
      </c>
      <c r="J143" s="74">
        <f t="shared" si="30"/>
        <v>5</v>
      </c>
      <c r="K143" s="74" t="str">
        <f t="shared" si="31"/>
        <v>May-2026</v>
      </c>
    </row>
    <row r="144" spans="1:11">
      <c r="A144" s="73">
        <f t="shared" si="32"/>
        <v>46165</v>
      </c>
      <c r="B144" s="74">
        <f t="shared" si="22"/>
        <v>2026</v>
      </c>
      <c r="C144" s="74">
        <f t="shared" si="23"/>
        <v>5</v>
      </c>
      <c r="D144" t="str">
        <f t="shared" si="24"/>
        <v>May</v>
      </c>
      <c r="E144" s="74" t="str">
        <f t="shared" si="25"/>
        <v>Q2</v>
      </c>
      <c r="F144" s="74">
        <f t="shared" si="26"/>
        <v>21</v>
      </c>
      <c r="G144" s="73">
        <f t="shared" si="27"/>
        <v>46160</v>
      </c>
      <c r="H144" s="73">
        <f t="shared" si="28"/>
        <v>46166</v>
      </c>
      <c r="I144" t="str">
        <f t="shared" si="29"/>
        <v>Saturday</v>
      </c>
      <c r="J144" s="74">
        <f t="shared" si="30"/>
        <v>6</v>
      </c>
      <c r="K144" s="74" t="str">
        <f t="shared" si="31"/>
        <v>May-2026</v>
      </c>
    </row>
    <row r="145" spans="1:11">
      <c r="A145" s="73">
        <f t="shared" si="32"/>
        <v>46166</v>
      </c>
      <c r="B145" s="74">
        <f t="shared" si="22"/>
        <v>2026</v>
      </c>
      <c r="C145" s="74">
        <f t="shared" si="23"/>
        <v>5</v>
      </c>
      <c r="D145" t="str">
        <f t="shared" si="24"/>
        <v>May</v>
      </c>
      <c r="E145" s="74" t="str">
        <f t="shared" si="25"/>
        <v>Q2</v>
      </c>
      <c r="F145" s="74">
        <f t="shared" si="26"/>
        <v>21</v>
      </c>
      <c r="G145" s="73">
        <f t="shared" si="27"/>
        <v>46160</v>
      </c>
      <c r="H145" s="73">
        <f t="shared" si="28"/>
        <v>46166</v>
      </c>
      <c r="I145" t="str">
        <f t="shared" si="29"/>
        <v>Sunday</v>
      </c>
      <c r="J145" s="74">
        <f t="shared" si="30"/>
        <v>7</v>
      </c>
      <c r="K145" s="74" t="str">
        <f t="shared" si="31"/>
        <v>May-2026</v>
      </c>
    </row>
    <row r="146" spans="1:11">
      <c r="A146" s="73">
        <f t="shared" si="32"/>
        <v>46167</v>
      </c>
      <c r="B146" s="74">
        <f t="shared" si="22"/>
        <v>2026</v>
      </c>
      <c r="C146" s="74">
        <f t="shared" si="23"/>
        <v>5</v>
      </c>
      <c r="D146" t="str">
        <f t="shared" si="24"/>
        <v>May</v>
      </c>
      <c r="E146" s="74" t="str">
        <f t="shared" si="25"/>
        <v>Q2</v>
      </c>
      <c r="F146" s="74">
        <f t="shared" si="26"/>
        <v>22</v>
      </c>
      <c r="G146" s="73">
        <f t="shared" si="27"/>
        <v>46167</v>
      </c>
      <c r="H146" s="73">
        <f t="shared" si="28"/>
        <v>46173</v>
      </c>
      <c r="I146" t="str">
        <f t="shared" si="29"/>
        <v>Monday</v>
      </c>
      <c r="J146" s="74">
        <f t="shared" si="30"/>
        <v>1</v>
      </c>
      <c r="K146" s="74" t="str">
        <f t="shared" si="31"/>
        <v>May-2026</v>
      </c>
    </row>
    <row r="147" spans="1:11">
      <c r="A147" s="73">
        <f t="shared" si="32"/>
        <v>46168</v>
      </c>
      <c r="B147" s="74">
        <f t="shared" si="22"/>
        <v>2026</v>
      </c>
      <c r="C147" s="74">
        <f t="shared" si="23"/>
        <v>5</v>
      </c>
      <c r="D147" t="str">
        <f t="shared" si="24"/>
        <v>May</v>
      </c>
      <c r="E147" s="74" t="str">
        <f t="shared" si="25"/>
        <v>Q2</v>
      </c>
      <c r="F147" s="74">
        <f t="shared" si="26"/>
        <v>22</v>
      </c>
      <c r="G147" s="73">
        <f t="shared" si="27"/>
        <v>46167</v>
      </c>
      <c r="H147" s="73">
        <f t="shared" si="28"/>
        <v>46173</v>
      </c>
      <c r="I147" t="str">
        <f t="shared" si="29"/>
        <v>Tuesday</v>
      </c>
      <c r="J147" s="74">
        <f t="shared" si="30"/>
        <v>2</v>
      </c>
      <c r="K147" s="74" t="str">
        <f t="shared" si="31"/>
        <v>May-2026</v>
      </c>
    </row>
    <row r="148" spans="1:11">
      <c r="A148" s="73">
        <f t="shared" si="32"/>
        <v>46169</v>
      </c>
      <c r="B148" s="74">
        <f t="shared" si="22"/>
        <v>2026</v>
      </c>
      <c r="C148" s="74">
        <f t="shared" si="23"/>
        <v>5</v>
      </c>
      <c r="D148" t="str">
        <f t="shared" si="24"/>
        <v>May</v>
      </c>
      <c r="E148" s="74" t="str">
        <f t="shared" si="25"/>
        <v>Q2</v>
      </c>
      <c r="F148" s="74">
        <f t="shared" si="26"/>
        <v>22</v>
      </c>
      <c r="G148" s="73">
        <f t="shared" si="27"/>
        <v>46167</v>
      </c>
      <c r="H148" s="73">
        <f t="shared" si="28"/>
        <v>46173</v>
      </c>
      <c r="I148" t="str">
        <f t="shared" si="29"/>
        <v>Wednesday</v>
      </c>
      <c r="J148" s="74">
        <f t="shared" si="30"/>
        <v>3</v>
      </c>
      <c r="K148" s="74" t="str">
        <f t="shared" si="31"/>
        <v>May-2026</v>
      </c>
    </row>
    <row r="149" spans="1:11">
      <c r="A149" s="73">
        <f t="shared" si="32"/>
        <v>46170</v>
      </c>
      <c r="B149" s="74">
        <f t="shared" si="22"/>
        <v>2026</v>
      </c>
      <c r="C149" s="74">
        <f t="shared" si="23"/>
        <v>5</v>
      </c>
      <c r="D149" t="str">
        <f t="shared" si="24"/>
        <v>May</v>
      </c>
      <c r="E149" s="74" t="str">
        <f t="shared" si="25"/>
        <v>Q2</v>
      </c>
      <c r="F149" s="74">
        <f t="shared" si="26"/>
        <v>22</v>
      </c>
      <c r="G149" s="73">
        <f t="shared" si="27"/>
        <v>46167</v>
      </c>
      <c r="H149" s="73">
        <f t="shared" si="28"/>
        <v>46173</v>
      </c>
      <c r="I149" t="str">
        <f t="shared" si="29"/>
        <v>Thursday</v>
      </c>
      <c r="J149" s="74">
        <f t="shared" si="30"/>
        <v>4</v>
      </c>
      <c r="K149" s="74" t="str">
        <f t="shared" si="31"/>
        <v>May-2026</v>
      </c>
    </row>
    <row r="150" spans="1:11">
      <c r="A150" s="73">
        <f t="shared" si="32"/>
        <v>46171</v>
      </c>
      <c r="B150" s="74">
        <f t="shared" si="22"/>
        <v>2026</v>
      </c>
      <c r="C150" s="74">
        <f t="shared" si="23"/>
        <v>5</v>
      </c>
      <c r="D150" t="str">
        <f t="shared" si="24"/>
        <v>May</v>
      </c>
      <c r="E150" s="74" t="str">
        <f t="shared" si="25"/>
        <v>Q2</v>
      </c>
      <c r="F150" s="74">
        <f t="shared" si="26"/>
        <v>22</v>
      </c>
      <c r="G150" s="73">
        <f t="shared" si="27"/>
        <v>46167</v>
      </c>
      <c r="H150" s="73">
        <f t="shared" si="28"/>
        <v>46173</v>
      </c>
      <c r="I150" t="str">
        <f t="shared" si="29"/>
        <v>Friday</v>
      </c>
      <c r="J150" s="74">
        <f t="shared" si="30"/>
        <v>5</v>
      </c>
      <c r="K150" s="74" t="str">
        <f t="shared" si="31"/>
        <v>May-2026</v>
      </c>
    </row>
    <row r="151" spans="1:11">
      <c r="A151" s="73">
        <f t="shared" si="32"/>
        <v>46172</v>
      </c>
      <c r="B151" s="74">
        <f t="shared" si="22"/>
        <v>2026</v>
      </c>
      <c r="C151" s="74">
        <f t="shared" si="23"/>
        <v>5</v>
      </c>
      <c r="D151" t="str">
        <f t="shared" si="24"/>
        <v>May</v>
      </c>
      <c r="E151" s="74" t="str">
        <f t="shared" si="25"/>
        <v>Q2</v>
      </c>
      <c r="F151" s="74">
        <f t="shared" si="26"/>
        <v>22</v>
      </c>
      <c r="G151" s="73">
        <f t="shared" si="27"/>
        <v>46167</v>
      </c>
      <c r="H151" s="73">
        <f t="shared" si="28"/>
        <v>46173</v>
      </c>
      <c r="I151" t="str">
        <f t="shared" si="29"/>
        <v>Saturday</v>
      </c>
      <c r="J151" s="74">
        <f t="shared" si="30"/>
        <v>6</v>
      </c>
      <c r="K151" s="74" t="str">
        <f t="shared" si="31"/>
        <v>May-2026</v>
      </c>
    </row>
    <row r="152" spans="1:11">
      <c r="A152" s="73">
        <f t="shared" si="32"/>
        <v>46173</v>
      </c>
      <c r="B152" s="74">
        <f t="shared" si="22"/>
        <v>2026</v>
      </c>
      <c r="C152" s="74">
        <f t="shared" si="23"/>
        <v>5</v>
      </c>
      <c r="D152" t="str">
        <f t="shared" si="24"/>
        <v>May</v>
      </c>
      <c r="E152" s="74" t="str">
        <f t="shared" si="25"/>
        <v>Q2</v>
      </c>
      <c r="F152" s="74">
        <f t="shared" si="26"/>
        <v>22</v>
      </c>
      <c r="G152" s="73">
        <f t="shared" si="27"/>
        <v>46167</v>
      </c>
      <c r="H152" s="73">
        <f t="shared" si="28"/>
        <v>46173</v>
      </c>
      <c r="I152" t="str">
        <f t="shared" si="29"/>
        <v>Sunday</v>
      </c>
      <c r="J152" s="74">
        <f t="shared" si="30"/>
        <v>7</v>
      </c>
      <c r="K152" s="74" t="str">
        <f t="shared" si="31"/>
        <v>May-2026</v>
      </c>
    </row>
    <row r="153" spans="1:11">
      <c r="A153" s="73">
        <f t="shared" si="32"/>
        <v>46174</v>
      </c>
      <c r="B153" s="74">
        <f t="shared" si="22"/>
        <v>2026</v>
      </c>
      <c r="C153" s="74">
        <f t="shared" si="23"/>
        <v>6</v>
      </c>
      <c r="D153" t="str">
        <f t="shared" si="24"/>
        <v>June</v>
      </c>
      <c r="E153" s="74" t="str">
        <f t="shared" si="25"/>
        <v>Q2</v>
      </c>
      <c r="F153" s="74">
        <f t="shared" si="26"/>
        <v>23</v>
      </c>
      <c r="G153" s="73">
        <f t="shared" si="27"/>
        <v>46174</v>
      </c>
      <c r="H153" s="73">
        <f t="shared" si="28"/>
        <v>46180</v>
      </c>
      <c r="I153" t="str">
        <f t="shared" si="29"/>
        <v>Monday</v>
      </c>
      <c r="J153" s="74">
        <f t="shared" si="30"/>
        <v>1</v>
      </c>
      <c r="K153" s="74" t="str">
        <f t="shared" si="31"/>
        <v>Jun-2026</v>
      </c>
    </row>
    <row r="154" spans="1:11">
      <c r="A154" s="73">
        <f t="shared" si="32"/>
        <v>46175</v>
      </c>
      <c r="B154" s="74">
        <f t="shared" si="22"/>
        <v>2026</v>
      </c>
      <c r="C154" s="74">
        <f t="shared" si="23"/>
        <v>6</v>
      </c>
      <c r="D154" t="str">
        <f t="shared" si="24"/>
        <v>June</v>
      </c>
      <c r="E154" s="74" t="str">
        <f t="shared" si="25"/>
        <v>Q2</v>
      </c>
      <c r="F154" s="74">
        <f t="shared" si="26"/>
        <v>23</v>
      </c>
      <c r="G154" s="73">
        <f t="shared" si="27"/>
        <v>46174</v>
      </c>
      <c r="H154" s="73">
        <f t="shared" si="28"/>
        <v>46180</v>
      </c>
      <c r="I154" t="str">
        <f t="shared" si="29"/>
        <v>Tuesday</v>
      </c>
      <c r="J154" s="74">
        <f t="shared" si="30"/>
        <v>2</v>
      </c>
      <c r="K154" s="74" t="str">
        <f t="shared" si="31"/>
        <v>Jun-2026</v>
      </c>
    </row>
    <row r="155" spans="1:11">
      <c r="A155" s="73">
        <f t="shared" si="32"/>
        <v>46176</v>
      </c>
      <c r="B155" s="74">
        <f t="shared" si="22"/>
        <v>2026</v>
      </c>
      <c r="C155" s="74">
        <f t="shared" si="23"/>
        <v>6</v>
      </c>
      <c r="D155" t="str">
        <f t="shared" si="24"/>
        <v>June</v>
      </c>
      <c r="E155" s="74" t="str">
        <f t="shared" si="25"/>
        <v>Q2</v>
      </c>
      <c r="F155" s="74">
        <f t="shared" si="26"/>
        <v>23</v>
      </c>
      <c r="G155" s="73">
        <f t="shared" si="27"/>
        <v>46174</v>
      </c>
      <c r="H155" s="73">
        <f t="shared" si="28"/>
        <v>46180</v>
      </c>
      <c r="I155" t="str">
        <f t="shared" si="29"/>
        <v>Wednesday</v>
      </c>
      <c r="J155" s="74">
        <f t="shared" si="30"/>
        <v>3</v>
      </c>
      <c r="K155" s="74" t="str">
        <f t="shared" si="31"/>
        <v>Jun-2026</v>
      </c>
    </row>
    <row r="156" spans="1:11">
      <c r="A156" s="73">
        <f t="shared" si="32"/>
        <v>46177</v>
      </c>
      <c r="B156" s="74">
        <f t="shared" si="22"/>
        <v>2026</v>
      </c>
      <c r="C156" s="74">
        <f t="shared" si="23"/>
        <v>6</v>
      </c>
      <c r="D156" t="str">
        <f t="shared" si="24"/>
        <v>June</v>
      </c>
      <c r="E156" s="74" t="str">
        <f t="shared" si="25"/>
        <v>Q2</v>
      </c>
      <c r="F156" s="74">
        <f t="shared" si="26"/>
        <v>23</v>
      </c>
      <c r="G156" s="73">
        <f t="shared" si="27"/>
        <v>46174</v>
      </c>
      <c r="H156" s="73">
        <f t="shared" si="28"/>
        <v>46180</v>
      </c>
      <c r="I156" t="str">
        <f t="shared" si="29"/>
        <v>Thursday</v>
      </c>
      <c r="J156" s="74">
        <f t="shared" si="30"/>
        <v>4</v>
      </c>
      <c r="K156" s="74" t="str">
        <f t="shared" si="31"/>
        <v>Jun-2026</v>
      </c>
    </row>
    <row r="157" spans="1:11">
      <c r="A157" s="73">
        <f t="shared" si="32"/>
        <v>46178</v>
      </c>
      <c r="B157" s="74">
        <f t="shared" si="22"/>
        <v>2026</v>
      </c>
      <c r="C157" s="74">
        <f t="shared" si="23"/>
        <v>6</v>
      </c>
      <c r="D157" t="str">
        <f t="shared" si="24"/>
        <v>June</v>
      </c>
      <c r="E157" s="74" t="str">
        <f t="shared" si="25"/>
        <v>Q2</v>
      </c>
      <c r="F157" s="74">
        <f t="shared" si="26"/>
        <v>23</v>
      </c>
      <c r="G157" s="73">
        <f t="shared" si="27"/>
        <v>46174</v>
      </c>
      <c r="H157" s="73">
        <f t="shared" si="28"/>
        <v>46180</v>
      </c>
      <c r="I157" t="str">
        <f t="shared" si="29"/>
        <v>Friday</v>
      </c>
      <c r="J157" s="74">
        <f t="shared" si="30"/>
        <v>5</v>
      </c>
      <c r="K157" s="74" t="str">
        <f t="shared" si="31"/>
        <v>Jun-2026</v>
      </c>
    </row>
    <row r="158" spans="1:11">
      <c r="A158" s="73">
        <f t="shared" si="32"/>
        <v>46179</v>
      </c>
      <c r="B158" s="74">
        <f t="shared" si="22"/>
        <v>2026</v>
      </c>
      <c r="C158" s="74">
        <f t="shared" si="23"/>
        <v>6</v>
      </c>
      <c r="D158" t="str">
        <f t="shared" si="24"/>
        <v>June</v>
      </c>
      <c r="E158" s="74" t="str">
        <f t="shared" si="25"/>
        <v>Q2</v>
      </c>
      <c r="F158" s="74">
        <f t="shared" si="26"/>
        <v>23</v>
      </c>
      <c r="G158" s="73">
        <f t="shared" si="27"/>
        <v>46174</v>
      </c>
      <c r="H158" s="73">
        <f t="shared" si="28"/>
        <v>46180</v>
      </c>
      <c r="I158" t="str">
        <f t="shared" si="29"/>
        <v>Saturday</v>
      </c>
      <c r="J158" s="74">
        <f t="shared" si="30"/>
        <v>6</v>
      </c>
      <c r="K158" s="74" t="str">
        <f t="shared" si="31"/>
        <v>Jun-2026</v>
      </c>
    </row>
    <row r="159" spans="1:11">
      <c r="A159" s="73">
        <f t="shared" si="32"/>
        <v>46180</v>
      </c>
      <c r="B159" s="74">
        <f t="shared" si="22"/>
        <v>2026</v>
      </c>
      <c r="C159" s="74">
        <f t="shared" si="23"/>
        <v>6</v>
      </c>
      <c r="D159" t="str">
        <f t="shared" si="24"/>
        <v>June</v>
      </c>
      <c r="E159" s="74" t="str">
        <f t="shared" si="25"/>
        <v>Q2</v>
      </c>
      <c r="F159" s="74">
        <f t="shared" si="26"/>
        <v>23</v>
      </c>
      <c r="G159" s="73">
        <f t="shared" si="27"/>
        <v>46174</v>
      </c>
      <c r="H159" s="73">
        <f t="shared" si="28"/>
        <v>46180</v>
      </c>
      <c r="I159" t="str">
        <f t="shared" si="29"/>
        <v>Sunday</v>
      </c>
      <c r="J159" s="74">
        <f t="shared" si="30"/>
        <v>7</v>
      </c>
      <c r="K159" s="74" t="str">
        <f t="shared" si="31"/>
        <v>Jun-2026</v>
      </c>
    </row>
    <row r="160" spans="1:11">
      <c r="A160" s="73">
        <f t="shared" si="32"/>
        <v>46181</v>
      </c>
      <c r="B160" s="74">
        <f t="shared" si="22"/>
        <v>2026</v>
      </c>
      <c r="C160" s="74">
        <f t="shared" si="23"/>
        <v>6</v>
      </c>
      <c r="D160" t="str">
        <f t="shared" si="24"/>
        <v>June</v>
      </c>
      <c r="E160" s="74" t="str">
        <f t="shared" si="25"/>
        <v>Q2</v>
      </c>
      <c r="F160" s="74">
        <f t="shared" si="26"/>
        <v>24</v>
      </c>
      <c r="G160" s="73">
        <f t="shared" si="27"/>
        <v>46181</v>
      </c>
      <c r="H160" s="73">
        <f t="shared" si="28"/>
        <v>46187</v>
      </c>
      <c r="I160" t="str">
        <f t="shared" si="29"/>
        <v>Monday</v>
      </c>
      <c r="J160" s="74">
        <f t="shared" si="30"/>
        <v>1</v>
      </c>
      <c r="K160" s="74" t="str">
        <f t="shared" si="31"/>
        <v>Jun-2026</v>
      </c>
    </row>
    <row r="161" spans="1:11">
      <c r="A161" s="73">
        <f t="shared" si="32"/>
        <v>46182</v>
      </c>
      <c r="B161" s="74">
        <f t="shared" si="22"/>
        <v>2026</v>
      </c>
      <c r="C161" s="74">
        <f t="shared" si="23"/>
        <v>6</v>
      </c>
      <c r="D161" t="str">
        <f t="shared" si="24"/>
        <v>June</v>
      </c>
      <c r="E161" s="74" t="str">
        <f t="shared" si="25"/>
        <v>Q2</v>
      </c>
      <c r="F161" s="74">
        <f t="shared" si="26"/>
        <v>24</v>
      </c>
      <c r="G161" s="73">
        <f t="shared" si="27"/>
        <v>46181</v>
      </c>
      <c r="H161" s="73">
        <f t="shared" si="28"/>
        <v>46187</v>
      </c>
      <c r="I161" t="str">
        <f t="shared" si="29"/>
        <v>Tuesday</v>
      </c>
      <c r="J161" s="74">
        <f t="shared" si="30"/>
        <v>2</v>
      </c>
      <c r="K161" s="74" t="str">
        <f t="shared" si="31"/>
        <v>Jun-2026</v>
      </c>
    </row>
    <row r="162" spans="1:11">
      <c r="A162" s="73">
        <f t="shared" si="32"/>
        <v>46183</v>
      </c>
      <c r="B162" s="74">
        <f t="shared" si="22"/>
        <v>2026</v>
      </c>
      <c r="C162" s="74">
        <f t="shared" si="23"/>
        <v>6</v>
      </c>
      <c r="D162" t="str">
        <f t="shared" si="24"/>
        <v>June</v>
      </c>
      <c r="E162" s="74" t="str">
        <f t="shared" si="25"/>
        <v>Q2</v>
      </c>
      <c r="F162" s="74">
        <f t="shared" si="26"/>
        <v>24</v>
      </c>
      <c r="G162" s="73">
        <f t="shared" si="27"/>
        <v>46181</v>
      </c>
      <c r="H162" s="73">
        <f t="shared" si="28"/>
        <v>46187</v>
      </c>
      <c r="I162" t="str">
        <f t="shared" si="29"/>
        <v>Wednesday</v>
      </c>
      <c r="J162" s="74">
        <f t="shared" si="30"/>
        <v>3</v>
      </c>
      <c r="K162" s="74" t="str">
        <f t="shared" si="31"/>
        <v>Jun-2026</v>
      </c>
    </row>
    <row r="163" spans="1:11">
      <c r="A163" s="73">
        <f t="shared" si="32"/>
        <v>46184</v>
      </c>
      <c r="B163" s="74">
        <f t="shared" si="22"/>
        <v>2026</v>
      </c>
      <c r="C163" s="74">
        <f t="shared" si="23"/>
        <v>6</v>
      </c>
      <c r="D163" t="str">
        <f t="shared" si="24"/>
        <v>June</v>
      </c>
      <c r="E163" s="74" t="str">
        <f t="shared" si="25"/>
        <v>Q2</v>
      </c>
      <c r="F163" s="74">
        <f t="shared" si="26"/>
        <v>24</v>
      </c>
      <c r="G163" s="73">
        <f t="shared" si="27"/>
        <v>46181</v>
      </c>
      <c r="H163" s="73">
        <f t="shared" si="28"/>
        <v>46187</v>
      </c>
      <c r="I163" t="str">
        <f t="shared" si="29"/>
        <v>Thursday</v>
      </c>
      <c r="J163" s="74">
        <f t="shared" si="30"/>
        <v>4</v>
      </c>
      <c r="K163" s="74" t="str">
        <f t="shared" si="31"/>
        <v>Jun-2026</v>
      </c>
    </row>
    <row r="164" spans="1:11">
      <c r="A164" s="73">
        <f t="shared" si="32"/>
        <v>46185</v>
      </c>
      <c r="B164" s="74">
        <f t="shared" si="22"/>
        <v>2026</v>
      </c>
      <c r="C164" s="74">
        <f t="shared" si="23"/>
        <v>6</v>
      </c>
      <c r="D164" t="str">
        <f t="shared" si="24"/>
        <v>June</v>
      </c>
      <c r="E164" s="74" t="str">
        <f t="shared" si="25"/>
        <v>Q2</v>
      </c>
      <c r="F164" s="74">
        <f t="shared" si="26"/>
        <v>24</v>
      </c>
      <c r="G164" s="73">
        <f t="shared" si="27"/>
        <v>46181</v>
      </c>
      <c r="H164" s="73">
        <f t="shared" si="28"/>
        <v>46187</v>
      </c>
      <c r="I164" t="str">
        <f t="shared" si="29"/>
        <v>Friday</v>
      </c>
      <c r="J164" s="74">
        <f t="shared" si="30"/>
        <v>5</v>
      </c>
      <c r="K164" s="74" t="str">
        <f t="shared" si="31"/>
        <v>Jun-2026</v>
      </c>
    </row>
    <row r="165" spans="1:11">
      <c r="A165" s="73">
        <f t="shared" si="32"/>
        <v>46186</v>
      </c>
      <c r="B165" s="74">
        <f t="shared" si="22"/>
        <v>2026</v>
      </c>
      <c r="C165" s="74">
        <f t="shared" si="23"/>
        <v>6</v>
      </c>
      <c r="D165" t="str">
        <f t="shared" si="24"/>
        <v>June</v>
      </c>
      <c r="E165" s="74" t="str">
        <f t="shared" si="25"/>
        <v>Q2</v>
      </c>
      <c r="F165" s="74">
        <f t="shared" si="26"/>
        <v>24</v>
      </c>
      <c r="G165" s="73">
        <f t="shared" si="27"/>
        <v>46181</v>
      </c>
      <c r="H165" s="73">
        <f t="shared" si="28"/>
        <v>46187</v>
      </c>
      <c r="I165" t="str">
        <f t="shared" si="29"/>
        <v>Saturday</v>
      </c>
      <c r="J165" s="74">
        <f t="shared" si="30"/>
        <v>6</v>
      </c>
      <c r="K165" s="74" t="str">
        <f t="shared" si="31"/>
        <v>Jun-2026</v>
      </c>
    </row>
    <row r="166" spans="1:11">
      <c r="A166" s="73">
        <f t="shared" si="32"/>
        <v>46187</v>
      </c>
      <c r="B166" s="74">
        <f t="shared" si="22"/>
        <v>2026</v>
      </c>
      <c r="C166" s="74">
        <f t="shared" si="23"/>
        <v>6</v>
      </c>
      <c r="D166" t="str">
        <f t="shared" si="24"/>
        <v>June</v>
      </c>
      <c r="E166" s="74" t="str">
        <f t="shared" si="25"/>
        <v>Q2</v>
      </c>
      <c r="F166" s="74">
        <f t="shared" si="26"/>
        <v>24</v>
      </c>
      <c r="G166" s="73">
        <f t="shared" si="27"/>
        <v>46181</v>
      </c>
      <c r="H166" s="73">
        <f t="shared" si="28"/>
        <v>46187</v>
      </c>
      <c r="I166" t="str">
        <f t="shared" si="29"/>
        <v>Sunday</v>
      </c>
      <c r="J166" s="74">
        <f t="shared" si="30"/>
        <v>7</v>
      </c>
      <c r="K166" s="74" t="str">
        <f t="shared" si="31"/>
        <v>Jun-2026</v>
      </c>
    </row>
    <row r="167" spans="1:11">
      <c r="A167" s="73">
        <f t="shared" si="32"/>
        <v>46188</v>
      </c>
      <c r="B167" s="74">
        <f t="shared" si="22"/>
        <v>2026</v>
      </c>
      <c r="C167" s="74">
        <f t="shared" si="23"/>
        <v>6</v>
      </c>
      <c r="D167" t="str">
        <f t="shared" si="24"/>
        <v>June</v>
      </c>
      <c r="E167" s="74" t="str">
        <f t="shared" si="25"/>
        <v>Q2</v>
      </c>
      <c r="F167" s="74">
        <f t="shared" si="26"/>
        <v>25</v>
      </c>
      <c r="G167" s="73">
        <f t="shared" si="27"/>
        <v>46188</v>
      </c>
      <c r="H167" s="73">
        <f t="shared" si="28"/>
        <v>46194</v>
      </c>
      <c r="I167" t="str">
        <f t="shared" si="29"/>
        <v>Monday</v>
      </c>
      <c r="J167" s="74">
        <f t="shared" si="30"/>
        <v>1</v>
      </c>
      <c r="K167" s="74" t="str">
        <f t="shared" si="31"/>
        <v>Jun-2026</v>
      </c>
    </row>
    <row r="168" spans="1:11">
      <c r="A168" s="73">
        <f t="shared" si="32"/>
        <v>46189</v>
      </c>
      <c r="B168" s="74">
        <f t="shared" si="22"/>
        <v>2026</v>
      </c>
      <c r="C168" s="74">
        <f t="shared" si="23"/>
        <v>6</v>
      </c>
      <c r="D168" t="str">
        <f t="shared" si="24"/>
        <v>June</v>
      </c>
      <c r="E168" s="74" t="str">
        <f t="shared" si="25"/>
        <v>Q2</v>
      </c>
      <c r="F168" s="74">
        <f t="shared" si="26"/>
        <v>25</v>
      </c>
      <c r="G168" s="73">
        <f t="shared" si="27"/>
        <v>46188</v>
      </c>
      <c r="H168" s="73">
        <f t="shared" si="28"/>
        <v>46194</v>
      </c>
      <c r="I168" t="str">
        <f t="shared" si="29"/>
        <v>Tuesday</v>
      </c>
      <c r="J168" s="74">
        <f t="shared" si="30"/>
        <v>2</v>
      </c>
      <c r="K168" s="74" t="str">
        <f t="shared" si="31"/>
        <v>Jun-2026</v>
      </c>
    </row>
    <row r="169" spans="1:11">
      <c r="A169" s="73">
        <f t="shared" si="32"/>
        <v>46190</v>
      </c>
      <c r="B169" s="74">
        <f t="shared" si="22"/>
        <v>2026</v>
      </c>
      <c r="C169" s="74">
        <f t="shared" si="23"/>
        <v>6</v>
      </c>
      <c r="D169" t="str">
        <f t="shared" si="24"/>
        <v>June</v>
      </c>
      <c r="E169" s="74" t="str">
        <f t="shared" si="25"/>
        <v>Q2</v>
      </c>
      <c r="F169" s="74">
        <f t="shared" si="26"/>
        <v>25</v>
      </c>
      <c r="G169" s="73">
        <f t="shared" si="27"/>
        <v>46188</v>
      </c>
      <c r="H169" s="73">
        <f t="shared" si="28"/>
        <v>46194</v>
      </c>
      <c r="I169" t="str">
        <f t="shared" si="29"/>
        <v>Wednesday</v>
      </c>
      <c r="J169" s="74">
        <f t="shared" si="30"/>
        <v>3</v>
      </c>
      <c r="K169" s="74" t="str">
        <f t="shared" si="31"/>
        <v>Jun-2026</v>
      </c>
    </row>
    <row r="170" spans="1:11">
      <c r="A170" s="73">
        <f t="shared" si="32"/>
        <v>46191</v>
      </c>
      <c r="B170" s="74">
        <f t="shared" si="22"/>
        <v>2026</v>
      </c>
      <c r="C170" s="74">
        <f t="shared" si="23"/>
        <v>6</v>
      </c>
      <c r="D170" t="str">
        <f t="shared" si="24"/>
        <v>June</v>
      </c>
      <c r="E170" s="74" t="str">
        <f t="shared" si="25"/>
        <v>Q2</v>
      </c>
      <c r="F170" s="74">
        <f t="shared" si="26"/>
        <v>25</v>
      </c>
      <c r="G170" s="73">
        <f t="shared" si="27"/>
        <v>46188</v>
      </c>
      <c r="H170" s="73">
        <f t="shared" si="28"/>
        <v>46194</v>
      </c>
      <c r="I170" t="str">
        <f t="shared" si="29"/>
        <v>Thursday</v>
      </c>
      <c r="J170" s="74">
        <f t="shared" si="30"/>
        <v>4</v>
      </c>
      <c r="K170" s="74" t="str">
        <f t="shared" si="31"/>
        <v>Jun-2026</v>
      </c>
    </row>
    <row r="171" spans="1:11">
      <c r="A171" s="73">
        <f t="shared" si="32"/>
        <v>46192</v>
      </c>
      <c r="B171" s="74">
        <f t="shared" si="22"/>
        <v>2026</v>
      </c>
      <c r="C171" s="74">
        <f t="shared" si="23"/>
        <v>6</v>
      </c>
      <c r="D171" t="str">
        <f t="shared" si="24"/>
        <v>June</v>
      </c>
      <c r="E171" s="74" t="str">
        <f t="shared" si="25"/>
        <v>Q2</v>
      </c>
      <c r="F171" s="74">
        <f t="shared" si="26"/>
        <v>25</v>
      </c>
      <c r="G171" s="73">
        <f t="shared" si="27"/>
        <v>46188</v>
      </c>
      <c r="H171" s="73">
        <f t="shared" si="28"/>
        <v>46194</v>
      </c>
      <c r="I171" t="str">
        <f t="shared" si="29"/>
        <v>Friday</v>
      </c>
      <c r="J171" s="74">
        <f t="shared" si="30"/>
        <v>5</v>
      </c>
      <c r="K171" s="74" t="str">
        <f t="shared" si="31"/>
        <v>Jun-2026</v>
      </c>
    </row>
    <row r="172" spans="1:11">
      <c r="A172" s="73">
        <f t="shared" si="32"/>
        <v>46193</v>
      </c>
      <c r="B172" s="74">
        <f t="shared" si="22"/>
        <v>2026</v>
      </c>
      <c r="C172" s="74">
        <f t="shared" si="23"/>
        <v>6</v>
      </c>
      <c r="D172" t="str">
        <f t="shared" si="24"/>
        <v>June</v>
      </c>
      <c r="E172" s="74" t="str">
        <f t="shared" si="25"/>
        <v>Q2</v>
      </c>
      <c r="F172" s="74">
        <f t="shared" si="26"/>
        <v>25</v>
      </c>
      <c r="G172" s="73">
        <f t="shared" si="27"/>
        <v>46188</v>
      </c>
      <c r="H172" s="73">
        <f t="shared" si="28"/>
        <v>46194</v>
      </c>
      <c r="I172" t="str">
        <f t="shared" si="29"/>
        <v>Saturday</v>
      </c>
      <c r="J172" s="74">
        <f t="shared" si="30"/>
        <v>6</v>
      </c>
      <c r="K172" s="74" t="str">
        <f t="shared" si="31"/>
        <v>Jun-2026</v>
      </c>
    </row>
    <row r="173" spans="1:11">
      <c r="A173" s="73">
        <f t="shared" si="32"/>
        <v>46194</v>
      </c>
      <c r="B173" s="74">
        <f t="shared" si="22"/>
        <v>2026</v>
      </c>
      <c r="C173" s="74">
        <f t="shared" si="23"/>
        <v>6</v>
      </c>
      <c r="D173" t="str">
        <f t="shared" si="24"/>
        <v>June</v>
      </c>
      <c r="E173" s="74" t="str">
        <f t="shared" si="25"/>
        <v>Q2</v>
      </c>
      <c r="F173" s="74">
        <f t="shared" si="26"/>
        <v>25</v>
      </c>
      <c r="G173" s="73">
        <f t="shared" si="27"/>
        <v>46188</v>
      </c>
      <c r="H173" s="73">
        <f t="shared" si="28"/>
        <v>46194</v>
      </c>
      <c r="I173" t="str">
        <f t="shared" si="29"/>
        <v>Sunday</v>
      </c>
      <c r="J173" s="74">
        <f t="shared" si="30"/>
        <v>7</v>
      </c>
      <c r="K173" s="74" t="str">
        <f t="shared" si="31"/>
        <v>Jun-2026</v>
      </c>
    </row>
    <row r="174" spans="1:11">
      <c r="A174" s="73">
        <f t="shared" si="32"/>
        <v>46195</v>
      </c>
      <c r="B174" s="74">
        <f t="shared" si="22"/>
        <v>2026</v>
      </c>
      <c r="C174" s="74">
        <f t="shared" si="23"/>
        <v>6</v>
      </c>
      <c r="D174" t="str">
        <f t="shared" si="24"/>
        <v>June</v>
      </c>
      <c r="E174" s="74" t="str">
        <f t="shared" si="25"/>
        <v>Q2</v>
      </c>
      <c r="F174" s="74">
        <f t="shared" si="26"/>
        <v>26</v>
      </c>
      <c r="G174" s="73">
        <f t="shared" si="27"/>
        <v>46195</v>
      </c>
      <c r="H174" s="73">
        <f t="shared" si="28"/>
        <v>46201</v>
      </c>
      <c r="I174" t="str">
        <f t="shared" si="29"/>
        <v>Monday</v>
      </c>
      <c r="J174" s="74">
        <f t="shared" si="30"/>
        <v>1</v>
      </c>
      <c r="K174" s="74" t="str">
        <f t="shared" si="31"/>
        <v>Jun-2026</v>
      </c>
    </row>
    <row r="175" spans="1:11">
      <c r="A175" s="73">
        <f t="shared" si="32"/>
        <v>46196</v>
      </c>
      <c r="B175" s="74">
        <f t="shared" si="22"/>
        <v>2026</v>
      </c>
      <c r="C175" s="74">
        <f t="shared" si="23"/>
        <v>6</v>
      </c>
      <c r="D175" t="str">
        <f t="shared" si="24"/>
        <v>June</v>
      </c>
      <c r="E175" s="74" t="str">
        <f t="shared" si="25"/>
        <v>Q2</v>
      </c>
      <c r="F175" s="74">
        <f t="shared" si="26"/>
        <v>26</v>
      </c>
      <c r="G175" s="73">
        <f t="shared" si="27"/>
        <v>46195</v>
      </c>
      <c r="H175" s="73">
        <f t="shared" si="28"/>
        <v>46201</v>
      </c>
      <c r="I175" t="str">
        <f t="shared" si="29"/>
        <v>Tuesday</v>
      </c>
      <c r="J175" s="74">
        <f t="shared" si="30"/>
        <v>2</v>
      </c>
      <c r="K175" s="74" t="str">
        <f t="shared" si="31"/>
        <v>Jun-2026</v>
      </c>
    </row>
    <row r="176" spans="1:11">
      <c r="A176" s="73">
        <f t="shared" si="32"/>
        <v>46197</v>
      </c>
      <c r="B176" s="74">
        <f t="shared" si="22"/>
        <v>2026</v>
      </c>
      <c r="C176" s="74">
        <f t="shared" si="23"/>
        <v>6</v>
      </c>
      <c r="D176" t="str">
        <f t="shared" si="24"/>
        <v>June</v>
      </c>
      <c r="E176" s="74" t="str">
        <f t="shared" si="25"/>
        <v>Q2</v>
      </c>
      <c r="F176" s="74">
        <f t="shared" si="26"/>
        <v>26</v>
      </c>
      <c r="G176" s="73">
        <f t="shared" si="27"/>
        <v>46195</v>
      </c>
      <c r="H176" s="73">
        <f t="shared" si="28"/>
        <v>46201</v>
      </c>
      <c r="I176" t="str">
        <f t="shared" si="29"/>
        <v>Wednesday</v>
      </c>
      <c r="J176" s="74">
        <f t="shared" si="30"/>
        <v>3</v>
      </c>
      <c r="K176" s="74" t="str">
        <f t="shared" si="31"/>
        <v>Jun-2026</v>
      </c>
    </row>
    <row r="177" spans="1:11">
      <c r="A177" s="73">
        <f t="shared" si="32"/>
        <v>46198</v>
      </c>
      <c r="B177" s="74">
        <f t="shared" si="22"/>
        <v>2026</v>
      </c>
      <c r="C177" s="74">
        <f t="shared" si="23"/>
        <v>6</v>
      </c>
      <c r="D177" t="str">
        <f t="shared" si="24"/>
        <v>June</v>
      </c>
      <c r="E177" s="74" t="str">
        <f t="shared" si="25"/>
        <v>Q2</v>
      </c>
      <c r="F177" s="74">
        <f t="shared" si="26"/>
        <v>26</v>
      </c>
      <c r="G177" s="73">
        <f t="shared" si="27"/>
        <v>46195</v>
      </c>
      <c r="H177" s="73">
        <f t="shared" si="28"/>
        <v>46201</v>
      </c>
      <c r="I177" t="str">
        <f t="shared" si="29"/>
        <v>Thursday</v>
      </c>
      <c r="J177" s="74">
        <f t="shared" si="30"/>
        <v>4</v>
      </c>
      <c r="K177" s="74" t="str">
        <f t="shared" si="31"/>
        <v>Jun-2026</v>
      </c>
    </row>
    <row r="178" spans="1:11">
      <c r="A178" s="73">
        <f t="shared" si="32"/>
        <v>46199</v>
      </c>
      <c r="B178" s="74">
        <f t="shared" si="22"/>
        <v>2026</v>
      </c>
      <c r="C178" s="74">
        <f t="shared" si="23"/>
        <v>6</v>
      </c>
      <c r="D178" t="str">
        <f t="shared" si="24"/>
        <v>June</v>
      </c>
      <c r="E178" s="74" t="str">
        <f t="shared" si="25"/>
        <v>Q2</v>
      </c>
      <c r="F178" s="74">
        <f t="shared" si="26"/>
        <v>26</v>
      </c>
      <c r="G178" s="73">
        <f t="shared" si="27"/>
        <v>46195</v>
      </c>
      <c r="H178" s="73">
        <f t="shared" si="28"/>
        <v>46201</v>
      </c>
      <c r="I178" t="str">
        <f t="shared" si="29"/>
        <v>Friday</v>
      </c>
      <c r="J178" s="74">
        <f t="shared" si="30"/>
        <v>5</v>
      </c>
      <c r="K178" s="74" t="str">
        <f t="shared" si="31"/>
        <v>Jun-2026</v>
      </c>
    </row>
    <row r="179" spans="1:11">
      <c r="A179" s="73">
        <f t="shared" si="32"/>
        <v>46200</v>
      </c>
      <c r="B179" s="74">
        <f t="shared" si="22"/>
        <v>2026</v>
      </c>
      <c r="C179" s="74">
        <f t="shared" si="23"/>
        <v>6</v>
      </c>
      <c r="D179" t="str">
        <f t="shared" si="24"/>
        <v>June</v>
      </c>
      <c r="E179" s="74" t="str">
        <f t="shared" si="25"/>
        <v>Q2</v>
      </c>
      <c r="F179" s="74">
        <f t="shared" si="26"/>
        <v>26</v>
      </c>
      <c r="G179" s="73">
        <f t="shared" si="27"/>
        <v>46195</v>
      </c>
      <c r="H179" s="73">
        <f t="shared" si="28"/>
        <v>46201</v>
      </c>
      <c r="I179" t="str">
        <f t="shared" si="29"/>
        <v>Saturday</v>
      </c>
      <c r="J179" s="74">
        <f t="shared" si="30"/>
        <v>6</v>
      </c>
      <c r="K179" s="74" t="str">
        <f t="shared" si="31"/>
        <v>Jun-2026</v>
      </c>
    </row>
    <row r="180" spans="1:11">
      <c r="A180" s="73">
        <f t="shared" si="32"/>
        <v>46201</v>
      </c>
      <c r="B180" s="74">
        <f t="shared" si="22"/>
        <v>2026</v>
      </c>
      <c r="C180" s="74">
        <f t="shared" si="23"/>
        <v>6</v>
      </c>
      <c r="D180" t="str">
        <f t="shared" si="24"/>
        <v>June</v>
      </c>
      <c r="E180" s="74" t="str">
        <f t="shared" si="25"/>
        <v>Q2</v>
      </c>
      <c r="F180" s="74">
        <f t="shared" si="26"/>
        <v>26</v>
      </c>
      <c r="G180" s="73">
        <f t="shared" si="27"/>
        <v>46195</v>
      </c>
      <c r="H180" s="73">
        <f t="shared" si="28"/>
        <v>46201</v>
      </c>
      <c r="I180" t="str">
        <f t="shared" si="29"/>
        <v>Sunday</v>
      </c>
      <c r="J180" s="74">
        <f t="shared" si="30"/>
        <v>7</v>
      </c>
      <c r="K180" s="74" t="str">
        <f t="shared" si="31"/>
        <v>Jun-2026</v>
      </c>
    </row>
    <row r="181" spans="1:11">
      <c r="A181" s="73">
        <f t="shared" si="32"/>
        <v>46202</v>
      </c>
      <c r="B181" s="74">
        <f t="shared" si="22"/>
        <v>2026</v>
      </c>
      <c r="C181" s="74">
        <f t="shared" si="23"/>
        <v>6</v>
      </c>
      <c r="D181" t="str">
        <f t="shared" si="24"/>
        <v>June</v>
      </c>
      <c r="E181" s="74" t="str">
        <f t="shared" si="25"/>
        <v>Q2</v>
      </c>
      <c r="F181" s="74">
        <f t="shared" si="26"/>
        <v>27</v>
      </c>
      <c r="G181" s="73">
        <f t="shared" si="27"/>
        <v>46202</v>
      </c>
      <c r="H181" s="73">
        <f t="shared" si="28"/>
        <v>46208</v>
      </c>
      <c r="I181" t="str">
        <f t="shared" si="29"/>
        <v>Monday</v>
      </c>
      <c r="J181" s="74">
        <f t="shared" si="30"/>
        <v>1</v>
      </c>
      <c r="K181" s="74" t="str">
        <f t="shared" si="31"/>
        <v>Jun-2026</v>
      </c>
    </row>
    <row r="182" spans="1:11">
      <c r="A182" s="73">
        <f t="shared" si="32"/>
        <v>46203</v>
      </c>
      <c r="B182" s="74">
        <f t="shared" si="22"/>
        <v>2026</v>
      </c>
      <c r="C182" s="74">
        <f t="shared" si="23"/>
        <v>6</v>
      </c>
      <c r="D182" t="str">
        <f t="shared" si="24"/>
        <v>June</v>
      </c>
      <c r="E182" s="74" t="str">
        <f t="shared" si="25"/>
        <v>Q2</v>
      </c>
      <c r="F182" s="74">
        <f t="shared" si="26"/>
        <v>27</v>
      </c>
      <c r="G182" s="73">
        <f t="shared" si="27"/>
        <v>46202</v>
      </c>
      <c r="H182" s="73">
        <f t="shared" si="28"/>
        <v>46208</v>
      </c>
      <c r="I182" t="str">
        <f t="shared" si="29"/>
        <v>Tuesday</v>
      </c>
      <c r="J182" s="74">
        <f t="shared" si="30"/>
        <v>2</v>
      </c>
      <c r="K182" s="74" t="str">
        <f t="shared" si="31"/>
        <v>Jun-2026</v>
      </c>
    </row>
    <row r="183" spans="1:11">
      <c r="A183" s="73">
        <f t="shared" si="32"/>
        <v>46204</v>
      </c>
      <c r="B183" s="74">
        <f t="shared" si="22"/>
        <v>2026</v>
      </c>
      <c r="C183" s="74">
        <f t="shared" si="23"/>
        <v>7</v>
      </c>
      <c r="D183" t="str">
        <f t="shared" si="24"/>
        <v>July</v>
      </c>
      <c r="E183" s="74" t="str">
        <f t="shared" si="25"/>
        <v>Q3</v>
      </c>
      <c r="F183" s="74">
        <f t="shared" si="26"/>
        <v>27</v>
      </c>
      <c r="G183" s="73">
        <f t="shared" si="27"/>
        <v>46202</v>
      </c>
      <c r="H183" s="73">
        <f t="shared" si="28"/>
        <v>46208</v>
      </c>
      <c r="I183" t="str">
        <f t="shared" si="29"/>
        <v>Wednesday</v>
      </c>
      <c r="J183" s="74">
        <f t="shared" si="30"/>
        <v>3</v>
      </c>
      <c r="K183" s="74" t="str">
        <f t="shared" si="31"/>
        <v>Jul-2026</v>
      </c>
    </row>
    <row r="184" spans="1:11">
      <c r="A184" s="73">
        <f t="shared" si="32"/>
        <v>46205</v>
      </c>
      <c r="B184" s="74">
        <f t="shared" si="22"/>
        <v>2026</v>
      </c>
      <c r="C184" s="74">
        <f t="shared" si="23"/>
        <v>7</v>
      </c>
      <c r="D184" t="str">
        <f t="shared" si="24"/>
        <v>July</v>
      </c>
      <c r="E184" s="74" t="str">
        <f t="shared" si="25"/>
        <v>Q3</v>
      </c>
      <c r="F184" s="74">
        <f t="shared" si="26"/>
        <v>27</v>
      </c>
      <c r="G184" s="73">
        <f t="shared" si="27"/>
        <v>46202</v>
      </c>
      <c r="H184" s="73">
        <f t="shared" si="28"/>
        <v>46208</v>
      </c>
      <c r="I184" t="str">
        <f t="shared" si="29"/>
        <v>Thursday</v>
      </c>
      <c r="J184" s="74">
        <f t="shared" si="30"/>
        <v>4</v>
      </c>
      <c r="K184" s="74" t="str">
        <f t="shared" si="31"/>
        <v>Jul-2026</v>
      </c>
    </row>
    <row r="185" spans="1:11">
      <c r="A185" s="73">
        <f t="shared" si="32"/>
        <v>46206</v>
      </c>
      <c r="B185" s="74">
        <f t="shared" si="22"/>
        <v>2026</v>
      </c>
      <c r="C185" s="74">
        <f t="shared" si="23"/>
        <v>7</v>
      </c>
      <c r="D185" t="str">
        <f t="shared" si="24"/>
        <v>July</v>
      </c>
      <c r="E185" s="74" t="str">
        <f t="shared" si="25"/>
        <v>Q3</v>
      </c>
      <c r="F185" s="74">
        <f t="shared" si="26"/>
        <v>27</v>
      </c>
      <c r="G185" s="73">
        <f t="shared" si="27"/>
        <v>46202</v>
      </c>
      <c r="H185" s="73">
        <f t="shared" si="28"/>
        <v>46208</v>
      </c>
      <c r="I185" t="str">
        <f t="shared" si="29"/>
        <v>Friday</v>
      </c>
      <c r="J185" s="74">
        <f t="shared" si="30"/>
        <v>5</v>
      </c>
      <c r="K185" s="74" t="str">
        <f t="shared" si="31"/>
        <v>Jul-2026</v>
      </c>
    </row>
    <row r="186" spans="1:11">
      <c r="A186" s="73">
        <f t="shared" si="32"/>
        <v>46207</v>
      </c>
      <c r="B186" s="74">
        <f t="shared" si="22"/>
        <v>2026</v>
      </c>
      <c r="C186" s="74">
        <f t="shared" si="23"/>
        <v>7</v>
      </c>
      <c r="D186" t="str">
        <f t="shared" si="24"/>
        <v>July</v>
      </c>
      <c r="E186" s="74" t="str">
        <f t="shared" si="25"/>
        <v>Q3</v>
      </c>
      <c r="F186" s="74">
        <f t="shared" si="26"/>
        <v>27</v>
      </c>
      <c r="G186" s="73">
        <f t="shared" si="27"/>
        <v>46202</v>
      </c>
      <c r="H186" s="73">
        <f t="shared" si="28"/>
        <v>46208</v>
      </c>
      <c r="I186" t="str">
        <f t="shared" si="29"/>
        <v>Saturday</v>
      </c>
      <c r="J186" s="74">
        <f t="shared" si="30"/>
        <v>6</v>
      </c>
      <c r="K186" s="74" t="str">
        <f t="shared" si="31"/>
        <v>Jul-2026</v>
      </c>
    </row>
    <row r="187" spans="1:11">
      <c r="A187" s="73">
        <f t="shared" si="32"/>
        <v>46208</v>
      </c>
      <c r="B187" s="74">
        <f t="shared" si="22"/>
        <v>2026</v>
      </c>
      <c r="C187" s="74">
        <f t="shared" si="23"/>
        <v>7</v>
      </c>
      <c r="D187" t="str">
        <f t="shared" si="24"/>
        <v>July</v>
      </c>
      <c r="E187" s="74" t="str">
        <f t="shared" si="25"/>
        <v>Q3</v>
      </c>
      <c r="F187" s="74">
        <f t="shared" si="26"/>
        <v>27</v>
      </c>
      <c r="G187" s="73">
        <f t="shared" si="27"/>
        <v>46202</v>
      </c>
      <c r="H187" s="73">
        <f t="shared" si="28"/>
        <v>46208</v>
      </c>
      <c r="I187" t="str">
        <f t="shared" si="29"/>
        <v>Sunday</v>
      </c>
      <c r="J187" s="74">
        <f t="shared" si="30"/>
        <v>7</v>
      </c>
      <c r="K187" s="74" t="str">
        <f t="shared" si="31"/>
        <v>Jul-2026</v>
      </c>
    </row>
    <row r="188" spans="1:11">
      <c r="A188" s="73">
        <f t="shared" si="32"/>
        <v>46209</v>
      </c>
      <c r="B188" s="74">
        <f t="shared" si="22"/>
        <v>2026</v>
      </c>
      <c r="C188" s="74">
        <f t="shared" si="23"/>
        <v>7</v>
      </c>
      <c r="D188" t="str">
        <f t="shared" si="24"/>
        <v>July</v>
      </c>
      <c r="E188" s="74" t="str">
        <f t="shared" si="25"/>
        <v>Q3</v>
      </c>
      <c r="F188" s="74">
        <f t="shared" si="26"/>
        <v>28</v>
      </c>
      <c r="G188" s="73">
        <f t="shared" si="27"/>
        <v>46209</v>
      </c>
      <c r="H188" s="73">
        <f t="shared" si="28"/>
        <v>46215</v>
      </c>
      <c r="I188" t="str">
        <f t="shared" si="29"/>
        <v>Monday</v>
      </c>
      <c r="J188" s="74">
        <f t="shared" si="30"/>
        <v>1</v>
      </c>
      <c r="K188" s="74" t="str">
        <f t="shared" si="31"/>
        <v>Jul-2026</v>
      </c>
    </row>
    <row r="189" spans="1:11">
      <c r="A189" s="73">
        <f t="shared" si="32"/>
        <v>46210</v>
      </c>
      <c r="B189" s="74">
        <f t="shared" si="22"/>
        <v>2026</v>
      </c>
      <c r="C189" s="74">
        <f t="shared" si="23"/>
        <v>7</v>
      </c>
      <c r="D189" t="str">
        <f t="shared" si="24"/>
        <v>July</v>
      </c>
      <c r="E189" s="74" t="str">
        <f t="shared" si="25"/>
        <v>Q3</v>
      </c>
      <c r="F189" s="74">
        <f t="shared" si="26"/>
        <v>28</v>
      </c>
      <c r="G189" s="73">
        <f t="shared" si="27"/>
        <v>46209</v>
      </c>
      <c r="H189" s="73">
        <f t="shared" si="28"/>
        <v>46215</v>
      </c>
      <c r="I189" t="str">
        <f t="shared" si="29"/>
        <v>Tuesday</v>
      </c>
      <c r="J189" s="74">
        <f t="shared" si="30"/>
        <v>2</v>
      </c>
      <c r="K189" s="74" t="str">
        <f t="shared" si="31"/>
        <v>Jul-2026</v>
      </c>
    </row>
    <row r="190" spans="1:11">
      <c r="A190" s="73">
        <f t="shared" si="32"/>
        <v>46211</v>
      </c>
      <c r="B190" s="74">
        <f t="shared" si="22"/>
        <v>2026</v>
      </c>
      <c r="C190" s="74">
        <f t="shared" si="23"/>
        <v>7</v>
      </c>
      <c r="D190" t="str">
        <f t="shared" si="24"/>
        <v>July</v>
      </c>
      <c r="E190" s="74" t="str">
        <f t="shared" si="25"/>
        <v>Q3</v>
      </c>
      <c r="F190" s="74">
        <f t="shared" si="26"/>
        <v>28</v>
      </c>
      <c r="G190" s="73">
        <f t="shared" si="27"/>
        <v>46209</v>
      </c>
      <c r="H190" s="73">
        <f t="shared" si="28"/>
        <v>46215</v>
      </c>
      <c r="I190" t="str">
        <f t="shared" si="29"/>
        <v>Wednesday</v>
      </c>
      <c r="J190" s="74">
        <f t="shared" si="30"/>
        <v>3</v>
      </c>
      <c r="K190" s="74" t="str">
        <f t="shared" si="31"/>
        <v>Jul-2026</v>
      </c>
    </row>
    <row r="191" spans="1:11">
      <c r="A191" s="73">
        <f t="shared" si="32"/>
        <v>46212</v>
      </c>
      <c r="B191" s="74">
        <f t="shared" si="22"/>
        <v>2026</v>
      </c>
      <c r="C191" s="74">
        <f t="shared" si="23"/>
        <v>7</v>
      </c>
      <c r="D191" t="str">
        <f t="shared" si="24"/>
        <v>July</v>
      </c>
      <c r="E191" s="74" t="str">
        <f t="shared" si="25"/>
        <v>Q3</v>
      </c>
      <c r="F191" s="74">
        <f t="shared" si="26"/>
        <v>28</v>
      </c>
      <c r="G191" s="73">
        <f t="shared" si="27"/>
        <v>46209</v>
      </c>
      <c r="H191" s="73">
        <f t="shared" si="28"/>
        <v>46215</v>
      </c>
      <c r="I191" t="str">
        <f t="shared" si="29"/>
        <v>Thursday</v>
      </c>
      <c r="J191" s="74">
        <f t="shared" si="30"/>
        <v>4</v>
      </c>
      <c r="K191" s="74" t="str">
        <f t="shared" si="31"/>
        <v>Jul-2026</v>
      </c>
    </row>
    <row r="192" spans="1:11">
      <c r="A192" s="73">
        <f t="shared" si="32"/>
        <v>46213</v>
      </c>
      <c r="B192" s="74">
        <f t="shared" si="22"/>
        <v>2026</v>
      </c>
      <c r="C192" s="74">
        <f t="shared" si="23"/>
        <v>7</v>
      </c>
      <c r="D192" t="str">
        <f t="shared" si="24"/>
        <v>July</v>
      </c>
      <c r="E192" s="74" t="str">
        <f t="shared" si="25"/>
        <v>Q3</v>
      </c>
      <c r="F192" s="74">
        <f t="shared" si="26"/>
        <v>28</v>
      </c>
      <c r="G192" s="73">
        <f t="shared" si="27"/>
        <v>46209</v>
      </c>
      <c r="H192" s="73">
        <f t="shared" si="28"/>
        <v>46215</v>
      </c>
      <c r="I192" t="str">
        <f t="shared" si="29"/>
        <v>Friday</v>
      </c>
      <c r="J192" s="74">
        <f t="shared" si="30"/>
        <v>5</v>
      </c>
      <c r="K192" s="74" t="str">
        <f t="shared" si="31"/>
        <v>Jul-2026</v>
      </c>
    </row>
    <row r="193" spans="1:11">
      <c r="A193" s="73">
        <f t="shared" si="32"/>
        <v>46214</v>
      </c>
      <c r="B193" s="74">
        <f t="shared" si="22"/>
        <v>2026</v>
      </c>
      <c r="C193" s="74">
        <f t="shared" si="23"/>
        <v>7</v>
      </c>
      <c r="D193" t="str">
        <f t="shared" si="24"/>
        <v>July</v>
      </c>
      <c r="E193" s="74" t="str">
        <f t="shared" si="25"/>
        <v>Q3</v>
      </c>
      <c r="F193" s="74">
        <f t="shared" si="26"/>
        <v>28</v>
      </c>
      <c r="G193" s="73">
        <f t="shared" si="27"/>
        <v>46209</v>
      </c>
      <c r="H193" s="73">
        <f t="shared" si="28"/>
        <v>46215</v>
      </c>
      <c r="I193" t="str">
        <f t="shared" si="29"/>
        <v>Saturday</v>
      </c>
      <c r="J193" s="74">
        <f t="shared" si="30"/>
        <v>6</v>
      </c>
      <c r="K193" s="74" t="str">
        <f t="shared" si="31"/>
        <v>Jul-2026</v>
      </c>
    </row>
    <row r="194" spans="1:11">
      <c r="A194" s="73">
        <f t="shared" si="32"/>
        <v>46215</v>
      </c>
      <c r="B194" s="74">
        <f t="shared" si="22"/>
        <v>2026</v>
      </c>
      <c r="C194" s="74">
        <f t="shared" si="23"/>
        <v>7</v>
      </c>
      <c r="D194" t="str">
        <f t="shared" si="24"/>
        <v>July</v>
      </c>
      <c r="E194" s="74" t="str">
        <f t="shared" si="25"/>
        <v>Q3</v>
      </c>
      <c r="F194" s="74">
        <f t="shared" si="26"/>
        <v>28</v>
      </c>
      <c r="G194" s="73">
        <f t="shared" si="27"/>
        <v>46209</v>
      </c>
      <c r="H194" s="73">
        <f t="shared" si="28"/>
        <v>46215</v>
      </c>
      <c r="I194" t="str">
        <f t="shared" si="29"/>
        <v>Sunday</v>
      </c>
      <c r="J194" s="74">
        <f t="shared" si="30"/>
        <v>7</v>
      </c>
      <c r="K194" s="74" t="str">
        <f t="shared" si="31"/>
        <v>Jul-2026</v>
      </c>
    </row>
    <row r="195" spans="1:11">
      <c r="A195" s="73">
        <f t="shared" si="32"/>
        <v>46216</v>
      </c>
      <c r="B195" s="74">
        <f t="shared" ref="B195:B258" si="33">YEAR(A195)</f>
        <v>2026</v>
      </c>
      <c r="C195" s="74">
        <f t="shared" ref="C195:C258" si="34">MONTH(A195)</f>
        <v>7</v>
      </c>
      <c r="D195" t="str">
        <f t="shared" ref="D195:D258" si="35">TEXT(A195,"mmmm")</f>
        <v>July</v>
      </c>
      <c r="E195" s="74" t="str">
        <f t="shared" ref="E195:E258" si="36">"Q"&amp;ROUNDUP(MONTH(A195)/3,0)</f>
        <v>Q3</v>
      </c>
      <c r="F195" s="74">
        <f t="shared" ref="F195:F258" si="37">WEEKNUM(A195,2)</f>
        <v>29</v>
      </c>
      <c r="G195" s="73">
        <f t="shared" ref="G195:G258" si="38">A195-WEEKDAY(A195,2)+1</f>
        <v>46216</v>
      </c>
      <c r="H195" s="73">
        <f t="shared" ref="H195:H258" si="39">G195+6</f>
        <v>46222</v>
      </c>
      <c r="I195" t="str">
        <f t="shared" ref="I195:I258" si="40">TEXT(A195,"dddd")</f>
        <v>Monday</v>
      </c>
      <c r="J195" s="74">
        <f t="shared" ref="J195:J258" si="41">WEEKDAY(A195,2)</f>
        <v>1</v>
      </c>
      <c r="K195" s="74" t="str">
        <f t="shared" ref="K195:K258" si="42">TEXT(A195,"mmm-yyyy")</f>
        <v>Jul-2026</v>
      </c>
    </row>
    <row r="196" spans="1:11">
      <c r="A196" s="73">
        <f t="shared" ref="A196:A259" si="43">A195+1</f>
        <v>46217</v>
      </c>
      <c r="B196" s="74">
        <f t="shared" si="33"/>
        <v>2026</v>
      </c>
      <c r="C196" s="74">
        <f t="shared" si="34"/>
        <v>7</v>
      </c>
      <c r="D196" t="str">
        <f t="shared" si="35"/>
        <v>July</v>
      </c>
      <c r="E196" s="74" t="str">
        <f t="shared" si="36"/>
        <v>Q3</v>
      </c>
      <c r="F196" s="74">
        <f t="shared" si="37"/>
        <v>29</v>
      </c>
      <c r="G196" s="73">
        <f t="shared" si="38"/>
        <v>46216</v>
      </c>
      <c r="H196" s="73">
        <f t="shared" si="39"/>
        <v>46222</v>
      </c>
      <c r="I196" t="str">
        <f t="shared" si="40"/>
        <v>Tuesday</v>
      </c>
      <c r="J196" s="74">
        <f t="shared" si="41"/>
        <v>2</v>
      </c>
      <c r="K196" s="74" t="str">
        <f t="shared" si="42"/>
        <v>Jul-2026</v>
      </c>
    </row>
    <row r="197" spans="1:11">
      <c r="A197" s="73">
        <f t="shared" si="43"/>
        <v>46218</v>
      </c>
      <c r="B197" s="74">
        <f t="shared" si="33"/>
        <v>2026</v>
      </c>
      <c r="C197" s="74">
        <f t="shared" si="34"/>
        <v>7</v>
      </c>
      <c r="D197" t="str">
        <f t="shared" si="35"/>
        <v>July</v>
      </c>
      <c r="E197" s="74" t="str">
        <f t="shared" si="36"/>
        <v>Q3</v>
      </c>
      <c r="F197" s="74">
        <f t="shared" si="37"/>
        <v>29</v>
      </c>
      <c r="G197" s="73">
        <f t="shared" si="38"/>
        <v>46216</v>
      </c>
      <c r="H197" s="73">
        <f t="shared" si="39"/>
        <v>46222</v>
      </c>
      <c r="I197" t="str">
        <f t="shared" si="40"/>
        <v>Wednesday</v>
      </c>
      <c r="J197" s="74">
        <f t="shared" si="41"/>
        <v>3</v>
      </c>
      <c r="K197" s="74" t="str">
        <f t="shared" si="42"/>
        <v>Jul-2026</v>
      </c>
    </row>
    <row r="198" spans="1:11">
      <c r="A198" s="73">
        <f t="shared" si="43"/>
        <v>46219</v>
      </c>
      <c r="B198" s="74">
        <f t="shared" si="33"/>
        <v>2026</v>
      </c>
      <c r="C198" s="74">
        <f t="shared" si="34"/>
        <v>7</v>
      </c>
      <c r="D198" t="str">
        <f t="shared" si="35"/>
        <v>July</v>
      </c>
      <c r="E198" s="74" t="str">
        <f t="shared" si="36"/>
        <v>Q3</v>
      </c>
      <c r="F198" s="74">
        <f t="shared" si="37"/>
        <v>29</v>
      </c>
      <c r="G198" s="73">
        <f t="shared" si="38"/>
        <v>46216</v>
      </c>
      <c r="H198" s="73">
        <f t="shared" si="39"/>
        <v>46222</v>
      </c>
      <c r="I198" t="str">
        <f t="shared" si="40"/>
        <v>Thursday</v>
      </c>
      <c r="J198" s="74">
        <f t="shared" si="41"/>
        <v>4</v>
      </c>
      <c r="K198" s="74" t="str">
        <f t="shared" si="42"/>
        <v>Jul-2026</v>
      </c>
    </row>
    <row r="199" spans="1:11">
      <c r="A199" s="73">
        <f t="shared" si="43"/>
        <v>46220</v>
      </c>
      <c r="B199" s="74">
        <f t="shared" si="33"/>
        <v>2026</v>
      </c>
      <c r="C199" s="74">
        <f t="shared" si="34"/>
        <v>7</v>
      </c>
      <c r="D199" t="str">
        <f t="shared" si="35"/>
        <v>July</v>
      </c>
      <c r="E199" s="74" t="str">
        <f t="shared" si="36"/>
        <v>Q3</v>
      </c>
      <c r="F199" s="74">
        <f t="shared" si="37"/>
        <v>29</v>
      </c>
      <c r="G199" s="73">
        <f t="shared" si="38"/>
        <v>46216</v>
      </c>
      <c r="H199" s="73">
        <f t="shared" si="39"/>
        <v>46222</v>
      </c>
      <c r="I199" t="str">
        <f t="shared" si="40"/>
        <v>Friday</v>
      </c>
      <c r="J199" s="74">
        <f t="shared" si="41"/>
        <v>5</v>
      </c>
      <c r="K199" s="74" t="str">
        <f t="shared" si="42"/>
        <v>Jul-2026</v>
      </c>
    </row>
    <row r="200" spans="1:11">
      <c r="A200" s="73">
        <f t="shared" si="43"/>
        <v>46221</v>
      </c>
      <c r="B200" s="74">
        <f t="shared" si="33"/>
        <v>2026</v>
      </c>
      <c r="C200" s="74">
        <f t="shared" si="34"/>
        <v>7</v>
      </c>
      <c r="D200" t="str">
        <f t="shared" si="35"/>
        <v>July</v>
      </c>
      <c r="E200" s="74" t="str">
        <f t="shared" si="36"/>
        <v>Q3</v>
      </c>
      <c r="F200" s="74">
        <f t="shared" si="37"/>
        <v>29</v>
      </c>
      <c r="G200" s="73">
        <f t="shared" si="38"/>
        <v>46216</v>
      </c>
      <c r="H200" s="73">
        <f t="shared" si="39"/>
        <v>46222</v>
      </c>
      <c r="I200" t="str">
        <f t="shared" si="40"/>
        <v>Saturday</v>
      </c>
      <c r="J200" s="74">
        <f t="shared" si="41"/>
        <v>6</v>
      </c>
      <c r="K200" s="74" t="str">
        <f t="shared" si="42"/>
        <v>Jul-2026</v>
      </c>
    </row>
    <row r="201" spans="1:11">
      <c r="A201" s="73">
        <f t="shared" si="43"/>
        <v>46222</v>
      </c>
      <c r="B201" s="74">
        <f t="shared" si="33"/>
        <v>2026</v>
      </c>
      <c r="C201" s="74">
        <f t="shared" si="34"/>
        <v>7</v>
      </c>
      <c r="D201" t="str">
        <f t="shared" si="35"/>
        <v>July</v>
      </c>
      <c r="E201" s="74" t="str">
        <f t="shared" si="36"/>
        <v>Q3</v>
      </c>
      <c r="F201" s="74">
        <f t="shared" si="37"/>
        <v>29</v>
      </c>
      <c r="G201" s="73">
        <f t="shared" si="38"/>
        <v>46216</v>
      </c>
      <c r="H201" s="73">
        <f t="shared" si="39"/>
        <v>46222</v>
      </c>
      <c r="I201" t="str">
        <f t="shared" si="40"/>
        <v>Sunday</v>
      </c>
      <c r="J201" s="74">
        <f t="shared" si="41"/>
        <v>7</v>
      </c>
      <c r="K201" s="74" t="str">
        <f t="shared" si="42"/>
        <v>Jul-2026</v>
      </c>
    </row>
    <row r="202" spans="1:11">
      <c r="A202" s="73">
        <f t="shared" si="43"/>
        <v>46223</v>
      </c>
      <c r="B202" s="74">
        <f t="shared" si="33"/>
        <v>2026</v>
      </c>
      <c r="C202" s="74">
        <f t="shared" si="34"/>
        <v>7</v>
      </c>
      <c r="D202" t="str">
        <f t="shared" si="35"/>
        <v>July</v>
      </c>
      <c r="E202" s="74" t="str">
        <f t="shared" si="36"/>
        <v>Q3</v>
      </c>
      <c r="F202" s="74">
        <f t="shared" si="37"/>
        <v>30</v>
      </c>
      <c r="G202" s="73">
        <f t="shared" si="38"/>
        <v>46223</v>
      </c>
      <c r="H202" s="73">
        <f t="shared" si="39"/>
        <v>46229</v>
      </c>
      <c r="I202" t="str">
        <f t="shared" si="40"/>
        <v>Monday</v>
      </c>
      <c r="J202" s="74">
        <f t="shared" si="41"/>
        <v>1</v>
      </c>
      <c r="K202" s="74" t="str">
        <f t="shared" si="42"/>
        <v>Jul-2026</v>
      </c>
    </row>
    <row r="203" spans="1:11">
      <c r="A203" s="73">
        <f t="shared" si="43"/>
        <v>46224</v>
      </c>
      <c r="B203" s="74">
        <f t="shared" si="33"/>
        <v>2026</v>
      </c>
      <c r="C203" s="74">
        <f t="shared" si="34"/>
        <v>7</v>
      </c>
      <c r="D203" t="str">
        <f t="shared" si="35"/>
        <v>July</v>
      </c>
      <c r="E203" s="74" t="str">
        <f t="shared" si="36"/>
        <v>Q3</v>
      </c>
      <c r="F203" s="74">
        <f t="shared" si="37"/>
        <v>30</v>
      </c>
      <c r="G203" s="73">
        <f t="shared" si="38"/>
        <v>46223</v>
      </c>
      <c r="H203" s="73">
        <f t="shared" si="39"/>
        <v>46229</v>
      </c>
      <c r="I203" t="str">
        <f t="shared" si="40"/>
        <v>Tuesday</v>
      </c>
      <c r="J203" s="74">
        <f t="shared" si="41"/>
        <v>2</v>
      </c>
      <c r="K203" s="74" t="str">
        <f t="shared" si="42"/>
        <v>Jul-2026</v>
      </c>
    </row>
    <row r="204" spans="1:11">
      <c r="A204" s="73">
        <f t="shared" si="43"/>
        <v>46225</v>
      </c>
      <c r="B204" s="74">
        <f t="shared" si="33"/>
        <v>2026</v>
      </c>
      <c r="C204" s="74">
        <f t="shared" si="34"/>
        <v>7</v>
      </c>
      <c r="D204" t="str">
        <f t="shared" si="35"/>
        <v>July</v>
      </c>
      <c r="E204" s="74" t="str">
        <f t="shared" si="36"/>
        <v>Q3</v>
      </c>
      <c r="F204" s="74">
        <f t="shared" si="37"/>
        <v>30</v>
      </c>
      <c r="G204" s="73">
        <f t="shared" si="38"/>
        <v>46223</v>
      </c>
      <c r="H204" s="73">
        <f t="shared" si="39"/>
        <v>46229</v>
      </c>
      <c r="I204" t="str">
        <f t="shared" si="40"/>
        <v>Wednesday</v>
      </c>
      <c r="J204" s="74">
        <f t="shared" si="41"/>
        <v>3</v>
      </c>
      <c r="K204" s="74" t="str">
        <f t="shared" si="42"/>
        <v>Jul-2026</v>
      </c>
    </row>
    <row r="205" spans="1:11">
      <c r="A205" s="73">
        <f t="shared" si="43"/>
        <v>46226</v>
      </c>
      <c r="B205" s="74">
        <f t="shared" si="33"/>
        <v>2026</v>
      </c>
      <c r="C205" s="74">
        <f t="shared" si="34"/>
        <v>7</v>
      </c>
      <c r="D205" t="str">
        <f t="shared" si="35"/>
        <v>July</v>
      </c>
      <c r="E205" s="74" t="str">
        <f t="shared" si="36"/>
        <v>Q3</v>
      </c>
      <c r="F205" s="74">
        <f t="shared" si="37"/>
        <v>30</v>
      </c>
      <c r="G205" s="73">
        <f t="shared" si="38"/>
        <v>46223</v>
      </c>
      <c r="H205" s="73">
        <f t="shared" si="39"/>
        <v>46229</v>
      </c>
      <c r="I205" t="str">
        <f t="shared" si="40"/>
        <v>Thursday</v>
      </c>
      <c r="J205" s="74">
        <f t="shared" si="41"/>
        <v>4</v>
      </c>
      <c r="K205" s="74" t="str">
        <f t="shared" si="42"/>
        <v>Jul-2026</v>
      </c>
    </row>
    <row r="206" spans="1:11">
      <c r="A206" s="73">
        <f t="shared" si="43"/>
        <v>46227</v>
      </c>
      <c r="B206" s="74">
        <f t="shared" si="33"/>
        <v>2026</v>
      </c>
      <c r="C206" s="74">
        <f t="shared" si="34"/>
        <v>7</v>
      </c>
      <c r="D206" t="str">
        <f t="shared" si="35"/>
        <v>July</v>
      </c>
      <c r="E206" s="74" t="str">
        <f t="shared" si="36"/>
        <v>Q3</v>
      </c>
      <c r="F206" s="74">
        <f t="shared" si="37"/>
        <v>30</v>
      </c>
      <c r="G206" s="73">
        <f t="shared" si="38"/>
        <v>46223</v>
      </c>
      <c r="H206" s="73">
        <f t="shared" si="39"/>
        <v>46229</v>
      </c>
      <c r="I206" t="str">
        <f t="shared" si="40"/>
        <v>Friday</v>
      </c>
      <c r="J206" s="74">
        <f t="shared" si="41"/>
        <v>5</v>
      </c>
      <c r="K206" s="74" t="str">
        <f t="shared" si="42"/>
        <v>Jul-2026</v>
      </c>
    </row>
    <row r="207" spans="1:11">
      <c r="A207" s="73">
        <f t="shared" si="43"/>
        <v>46228</v>
      </c>
      <c r="B207" s="74">
        <f t="shared" si="33"/>
        <v>2026</v>
      </c>
      <c r="C207" s="74">
        <f t="shared" si="34"/>
        <v>7</v>
      </c>
      <c r="D207" t="str">
        <f t="shared" si="35"/>
        <v>July</v>
      </c>
      <c r="E207" s="74" t="str">
        <f t="shared" si="36"/>
        <v>Q3</v>
      </c>
      <c r="F207" s="74">
        <f t="shared" si="37"/>
        <v>30</v>
      </c>
      <c r="G207" s="73">
        <f t="shared" si="38"/>
        <v>46223</v>
      </c>
      <c r="H207" s="73">
        <f t="shared" si="39"/>
        <v>46229</v>
      </c>
      <c r="I207" t="str">
        <f t="shared" si="40"/>
        <v>Saturday</v>
      </c>
      <c r="J207" s="74">
        <f t="shared" si="41"/>
        <v>6</v>
      </c>
      <c r="K207" s="74" t="str">
        <f t="shared" si="42"/>
        <v>Jul-2026</v>
      </c>
    </row>
    <row r="208" spans="1:11">
      <c r="A208" s="73">
        <f t="shared" si="43"/>
        <v>46229</v>
      </c>
      <c r="B208" s="74">
        <f t="shared" si="33"/>
        <v>2026</v>
      </c>
      <c r="C208" s="74">
        <f t="shared" si="34"/>
        <v>7</v>
      </c>
      <c r="D208" t="str">
        <f t="shared" si="35"/>
        <v>July</v>
      </c>
      <c r="E208" s="74" t="str">
        <f t="shared" si="36"/>
        <v>Q3</v>
      </c>
      <c r="F208" s="74">
        <f t="shared" si="37"/>
        <v>30</v>
      </c>
      <c r="G208" s="73">
        <f t="shared" si="38"/>
        <v>46223</v>
      </c>
      <c r="H208" s="73">
        <f t="shared" si="39"/>
        <v>46229</v>
      </c>
      <c r="I208" t="str">
        <f t="shared" si="40"/>
        <v>Sunday</v>
      </c>
      <c r="J208" s="74">
        <f t="shared" si="41"/>
        <v>7</v>
      </c>
      <c r="K208" s="74" t="str">
        <f t="shared" si="42"/>
        <v>Jul-2026</v>
      </c>
    </row>
    <row r="209" spans="1:11">
      <c r="A209" s="73">
        <f t="shared" si="43"/>
        <v>46230</v>
      </c>
      <c r="B209" s="74">
        <f t="shared" si="33"/>
        <v>2026</v>
      </c>
      <c r="C209" s="74">
        <f t="shared" si="34"/>
        <v>7</v>
      </c>
      <c r="D209" t="str">
        <f t="shared" si="35"/>
        <v>July</v>
      </c>
      <c r="E209" s="74" t="str">
        <f t="shared" si="36"/>
        <v>Q3</v>
      </c>
      <c r="F209" s="74">
        <f t="shared" si="37"/>
        <v>31</v>
      </c>
      <c r="G209" s="73">
        <f t="shared" si="38"/>
        <v>46230</v>
      </c>
      <c r="H209" s="73">
        <f t="shared" si="39"/>
        <v>46236</v>
      </c>
      <c r="I209" t="str">
        <f t="shared" si="40"/>
        <v>Monday</v>
      </c>
      <c r="J209" s="74">
        <f t="shared" si="41"/>
        <v>1</v>
      </c>
      <c r="K209" s="74" t="str">
        <f t="shared" si="42"/>
        <v>Jul-2026</v>
      </c>
    </row>
    <row r="210" spans="1:11">
      <c r="A210" s="73">
        <f t="shared" si="43"/>
        <v>46231</v>
      </c>
      <c r="B210" s="74">
        <f t="shared" si="33"/>
        <v>2026</v>
      </c>
      <c r="C210" s="74">
        <f t="shared" si="34"/>
        <v>7</v>
      </c>
      <c r="D210" t="str">
        <f t="shared" si="35"/>
        <v>July</v>
      </c>
      <c r="E210" s="74" t="str">
        <f t="shared" si="36"/>
        <v>Q3</v>
      </c>
      <c r="F210" s="74">
        <f t="shared" si="37"/>
        <v>31</v>
      </c>
      <c r="G210" s="73">
        <f t="shared" si="38"/>
        <v>46230</v>
      </c>
      <c r="H210" s="73">
        <f t="shared" si="39"/>
        <v>46236</v>
      </c>
      <c r="I210" t="str">
        <f t="shared" si="40"/>
        <v>Tuesday</v>
      </c>
      <c r="J210" s="74">
        <f t="shared" si="41"/>
        <v>2</v>
      </c>
      <c r="K210" s="74" t="str">
        <f t="shared" si="42"/>
        <v>Jul-2026</v>
      </c>
    </row>
    <row r="211" spans="1:11">
      <c r="A211" s="73">
        <f t="shared" si="43"/>
        <v>46232</v>
      </c>
      <c r="B211" s="74">
        <f t="shared" si="33"/>
        <v>2026</v>
      </c>
      <c r="C211" s="74">
        <f t="shared" si="34"/>
        <v>7</v>
      </c>
      <c r="D211" t="str">
        <f t="shared" si="35"/>
        <v>July</v>
      </c>
      <c r="E211" s="74" t="str">
        <f t="shared" si="36"/>
        <v>Q3</v>
      </c>
      <c r="F211" s="74">
        <f t="shared" si="37"/>
        <v>31</v>
      </c>
      <c r="G211" s="73">
        <f t="shared" si="38"/>
        <v>46230</v>
      </c>
      <c r="H211" s="73">
        <f t="shared" si="39"/>
        <v>46236</v>
      </c>
      <c r="I211" t="str">
        <f t="shared" si="40"/>
        <v>Wednesday</v>
      </c>
      <c r="J211" s="74">
        <f t="shared" si="41"/>
        <v>3</v>
      </c>
      <c r="K211" s="74" t="str">
        <f t="shared" si="42"/>
        <v>Jul-2026</v>
      </c>
    </row>
    <row r="212" spans="1:11">
      <c r="A212" s="73">
        <f t="shared" si="43"/>
        <v>46233</v>
      </c>
      <c r="B212" s="74">
        <f t="shared" si="33"/>
        <v>2026</v>
      </c>
      <c r="C212" s="74">
        <f t="shared" si="34"/>
        <v>7</v>
      </c>
      <c r="D212" t="str">
        <f t="shared" si="35"/>
        <v>July</v>
      </c>
      <c r="E212" s="74" t="str">
        <f t="shared" si="36"/>
        <v>Q3</v>
      </c>
      <c r="F212" s="74">
        <f t="shared" si="37"/>
        <v>31</v>
      </c>
      <c r="G212" s="73">
        <f t="shared" si="38"/>
        <v>46230</v>
      </c>
      <c r="H212" s="73">
        <f t="shared" si="39"/>
        <v>46236</v>
      </c>
      <c r="I212" t="str">
        <f t="shared" si="40"/>
        <v>Thursday</v>
      </c>
      <c r="J212" s="74">
        <f t="shared" si="41"/>
        <v>4</v>
      </c>
      <c r="K212" s="74" t="str">
        <f t="shared" si="42"/>
        <v>Jul-2026</v>
      </c>
    </row>
    <row r="213" spans="1:11">
      <c r="A213" s="73">
        <f t="shared" si="43"/>
        <v>46234</v>
      </c>
      <c r="B213" s="74">
        <f t="shared" si="33"/>
        <v>2026</v>
      </c>
      <c r="C213" s="74">
        <f t="shared" si="34"/>
        <v>7</v>
      </c>
      <c r="D213" t="str">
        <f t="shared" si="35"/>
        <v>July</v>
      </c>
      <c r="E213" s="74" t="str">
        <f t="shared" si="36"/>
        <v>Q3</v>
      </c>
      <c r="F213" s="74">
        <f t="shared" si="37"/>
        <v>31</v>
      </c>
      <c r="G213" s="73">
        <f t="shared" si="38"/>
        <v>46230</v>
      </c>
      <c r="H213" s="73">
        <f t="shared" si="39"/>
        <v>46236</v>
      </c>
      <c r="I213" t="str">
        <f t="shared" si="40"/>
        <v>Friday</v>
      </c>
      <c r="J213" s="74">
        <f t="shared" si="41"/>
        <v>5</v>
      </c>
      <c r="K213" s="74" t="str">
        <f t="shared" si="42"/>
        <v>Jul-2026</v>
      </c>
    </row>
    <row r="214" spans="1:11">
      <c r="A214" s="73">
        <f t="shared" si="43"/>
        <v>46235</v>
      </c>
      <c r="B214" s="74">
        <f t="shared" si="33"/>
        <v>2026</v>
      </c>
      <c r="C214" s="74">
        <f t="shared" si="34"/>
        <v>8</v>
      </c>
      <c r="D214" t="str">
        <f t="shared" si="35"/>
        <v>August</v>
      </c>
      <c r="E214" s="74" t="str">
        <f t="shared" si="36"/>
        <v>Q3</v>
      </c>
      <c r="F214" s="74">
        <f t="shared" si="37"/>
        <v>31</v>
      </c>
      <c r="G214" s="73">
        <f t="shared" si="38"/>
        <v>46230</v>
      </c>
      <c r="H214" s="73">
        <f t="shared" si="39"/>
        <v>46236</v>
      </c>
      <c r="I214" t="str">
        <f t="shared" si="40"/>
        <v>Saturday</v>
      </c>
      <c r="J214" s="74">
        <f t="shared" si="41"/>
        <v>6</v>
      </c>
      <c r="K214" s="74" t="str">
        <f t="shared" si="42"/>
        <v>Aug-2026</v>
      </c>
    </row>
    <row r="215" spans="1:11">
      <c r="A215" s="73">
        <f t="shared" si="43"/>
        <v>46236</v>
      </c>
      <c r="B215" s="74">
        <f t="shared" si="33"/>
        <v>2026</v>
      </c>
      <c r="C215" s="74">
        <f t="shared" si="34"/>
        <v>8</v>
      </c>
      <c r="D215" t="str">
        <f t="shared" si="35"/>
        <v>August</v>
      </c>
      <c r="E215" s="74" t="str">
        <f t="shared" si="36"/>
        <v>Q3</v>
      </c>
      <c r="F215" s="74">
        <f t="shared" si="37"/>
        <v>31</v>
      </c>
      <c r="G215" s="73">
        <f t="shared" si="38"/>
        <v>46230</v>
      </c>
      <c r="H215" s="73">
        <f t="shared" si="39"/>
        <v>46236</v>
      </c>
      <c r="I215" t="str">
        <f t="shared" si="40"/>
        <v>Sunday</v>
      </c>
      <c r="J215" s="74">
        <f t="shared" si="41"/>
        <v>7</v>
      </c>
      <c r="K215" s="74" t="str">
        <f t="shared" si="42"/>
        <v>Aug-2026</v>
      </c>
    </row>
    <row r="216" spans="1:11">
      <c r="A216" s="73">
        <f t="shared" si="43"/>
        <v>46237</v>
      </c>
      <c r="B216" s="74">
        <f t="shared" si="33"/>
        <v>2026</v>
      </c>
      <c r="C216" s="74">
        <f t="shared" si="34"/>
        <v>8</v>
      </c>
      <c r="D216" t="str">
        <f t="shared" si="35"/>
        <v>August</v>
      </c>
      <c r="E216" s="74" t="str">
        <f t="shared" si="36"/>
        <v>Q3</v>
      </c>
      <c r="F216" s="74">
        <f t="shared" si="37"/>
        <v>32</v>
      </c>
      <c r="G216" s="73">
        <f t="shared" si="38"/>
        <v>46237</v>
      </c>
      <c r="H216" s="73">
        <f t="shared" si="39"/>
        <v>46243</v>
      </c>
      <c r="I216" t="str">
        <f t="shared" si="40"/>
        <v>Monday</v>
      </c>
      <c r="J216" s="74">
        <f t="shared" si="41"/>
        <v>1</v>
      </c>
      <c r="K216" s="74" t="str">
        <f t="shared" si="42"/>
        <v>Aug-2026</v>
      </c>
    </row>
    <row r="217" spans="1:11">
      <c r="A217" s="73">
        <f t="shared" si="43"/>
        <v>46238</v>
      </c>
      <c r="B217" s="74">
        <f t="shared" si="33"/>
        <v>2026</v>
      </c>
      <c r="C217" s="74">
        <f t="shared" si="34"/>
        <v>8</v>
      </c>
      <c r="D217" t="str">
        <f t="shared" si="35"/>
        <v>August</v>
      </c>
      <c r="E217" s="74" t="str">
        <f t="shared" si="36"/>
        <v>Q3</v>
      </c>
      <c r="F217" s="74">
        <f t="shared" si="37"/>
        <v>32</v>
      </c>
      <c r="G217" s="73">
        <f t="shared" si="38"/>
        <v>46237</v>
      </c>
      <c r="H217" s="73">
        <f t="shared" si="39"/>
        <v>46243</v>
      </c>
      <c r="I217" t="str">
        <f t="shared" si="40"/>
        <v>Tuesday</v>
      </c>
      <c r="J217" s="74">
        <f t="shared" si="41"/>
        <v>2</v>
      </c>
      <c r="K217" s="74" t="str">
        <f t="shared" si="42"/>
        <v>Aug-2026</v>
      </c>
    </row>
    <row r="218" spans="1:11">
      <c r="A218" s="73">
        <f t="shared" si="43"/>
        <v>46239</v>
      </c>
      <c r="B218" s="74">
        <f t="shared" si="33"/>
        <v>2026</v>
      </c>
      <c r="C218" s="74">
        <f t="shared" si="34"/>
        <v>8</v>
      </c>
      <c r="D218" t="str">
        <f t="shared" si="35"/>
        <v>August</v>
      </c>
      <c r="E218" s="74" t="str">
        <f t="shared" si="36"/>
        <v>Q3</v>
      </c>
      <c r="F218" s="74">
        <f t="shared" si="37"/>
        <v>32</v>
      </c>
      <c r="G218" s="73">
        <f t="shared" si="38"/>
        <v>46237</v>
      </c>
      <c r="H218" s="73">
        <f t="shared" si="39"/>
        <v>46243</v>
      </c>
      <c r="I218" t="str">
        <f t="shared" si="40"/>
        <v>Wednesday</v>
      </c>
      <c r="J218" s="74">
        <f t="shared" si="41"/>
        <v>3</v>
      </c>
      <c r="K218" s="74" t="str">
        <f t="shared" si="42"/>
        <v>Aug-2026</v>
      </c>
    </row>
    <row r="219" spans="1:11">
      <c r="A219" s="73">
        <f t="shared" si="43"/>
        <v>46240</v>
      </c>
      <c r="B219" s="74">
        <f t="shared" si="33"/>
        <v>2026</v>
      </c>
      <c r="C219" s="74">
        <f t="shared" si="34"/>
        <v>8</v>
      </c>
      <c r="D219" t="str">
        <f t="shared" si="35"/>
        <v>August</v>
      </c>
      <c r="E219" s="74" t="str">
        <f t="shared" si="36"/>
        <v>Q3</v>
      </c>
      <c r="F219" s="74">
        <f t="shared" si="37"/>
        <v>32</v>
      </c>
      <c r="G219" s="73">
        <f t="shared" si="38"/>
        <v>46237</v>
      </c>
      <c r="H219" s="73">
        <f t="shared" si="39"/>
        <v>46243</v>
      </c>
      <c r="I219" t="str">
        <f t="shared" si="40"/>
        <v>Thursday</v>
      </c>
      <c r="J219" s="74">
        <f t="shared" si="41"/>
        <v>4</v>
      </c>
      <c r="K219" s="74" t="str">
        <f t="shared" si="42"/>
        <v>Aug-2026</v>
      </c>
    </row>
    <row r="220" spans="1:11">
      <c r="A220" s="73">
        <f t="shared" si="43"/>
        <v>46241</v>
      </c>
      <c r="B220" s="74">
        <f t="shared" si="33"/>
        <v>2026</v>
      </c>
      <c r="C220" s="74">
        <f t="shared" si="34"/>
        <v>8</v>
      </c>
      <c r="D220" t="str">
        <f t="shared" si="35"/>
        <v>August</v>
      </c>
      <c r="E220" s="74" t="str">
        <f t="shared" si="36"/>
        <v>Q3</v>
      </c>
      <c r="F220" s="74">
        <f t="shared" si="37"/>
        <v>32</v>
      </c>
      <c r="G220" s="73">
        <f t="shared" si="38"/>
        <v>46237</v>
      </c>
      <c r="H220" s="73">
        <f t="shared" si="39"/>
        <v>46243</v>
      </c>
      <c r="I220" t="str">
        <f t="shared" si="40"/>
        <v>Friday</v>
      </c>
      <c r="J220" s="74">
        <f t="shared" si="41"/>
        <v>5</v>
      </c>
      <c r="K220" s="74" t="str">
        <f t="shared" si="42"/>
        <v>Aug-2026</v>
      </c>
    </row>
    <row r="221" spans="1:11">
      <c r="A221" s="73">
        <f t="shared" si="43"/>
        <v>46242</v>
      </c>
      <c r="B221" s="74">
        <f t="shared" si="33"/>
        <v>2026</v>
      </c>
      <c r="C221" s="74">
        <f t="shared" si="34"/>
        <v>8</v>
      </c>
      <c r="D221" t="str">
        <f t="shared" si="35"/>
        <v>August</v>
      </c>
      <c r="E221" s="74" t="str">
        <f t="shared" si="36"/>
        <v>Q3</v>
      </c>
      <c r="F221" s="74">
        <f t="shared" si="37"/>
        <v>32</v>
      </c>
      <c r="G221" s="73">
        <f t="shared" si="38"/>
        <v>46237</v>
      </c>
      <c r="H221" s="73">
        <f t="shared" si="39"/>
        <v>46243</v>
      </c>
      <c r="I221" t="str">
        <f t="shared" si="40"/>
        <v>Saturday</v>
      </c>
      <c r="J221" s="74">
        <f t="shared" si="41"/>
        <v>6</v>
      </c>
      <c r="K221" s="74" t="str">
        <f t="shared" si="42"/>
        <v>Aug-2026</v>
      </c>
    </row>
    <row r="222" spans="1:11">
      <c r="A222" s="73">
        <f t="shared" si="43"/>
        <v>46243</v>
      </c>
      <c r="B222" s="74">
        <f t="shared" si="33"/>
        <v>2026</v>
      </c>
      <c r="C222" s="74">
        <f t="shared" si="34"/>
        <v>8</v>
      </c>
      <c r="D222" t="str">
        <f t="shared" si="35"/>
        <v>August</v>
      </c>
      <c r="E222" s="74" t="str">
        <f t="shared" si="36"/>
        <v>Q3</v>
      </c>
      <c r="F222" s="74">
        <f t="shared" si="37"/>
        <v>32</v>
      </c>
      <c r="G222" s="73">
        <f t="shared" si="38"/>
        <v>46237</v>
      </c>
      <c r="H222" s="73">
        <f t="shared" si="39"/>
        <v>46243</v>
      </c>
      <c r="I222" t="str">
        <f t="shared" si="40"/>
        <v>Sunday</v>
      </c>
      <c r="J222" s="74">
        <f t="shared" si="41"/>
        <v>7</v>
      </c>
      <c r="K222" s="74" t="str">
        <f t="shared" si="42"/>
        <v>Aug-2026</v>
      </c>
    </row>
    <row r="223" spans="1:11">
      <c r="A223" s="73">
        <f t="shared" si="43"/>
        <v>46244</v>
      </c>
      <c r="B223" s="74">
        <f t="shared" si="33"/>
        <v>2026</v>
      </c>
      <c r="C223" s="74">
        <f t="shared" si="34"/>
        <v>8</v>
      </c>
      <c r="D223" t="str">
        <f t="shared" si="35"/>
        <v>August</v>
      </c>
      <c r="E223" s="74" t="str">
        <f t="shared" si="36"/>
        <v>Q3</v>
      </c>
      <c r="F223" s="74">
        <f t="shared" si="37"/>
        <v>33</v>
      </c>
      <c r="G223" s="73">
        <f t="shared" si="38"/>
        <v>46244</v>
      </c>
      <c r="H223" s="73">
        <f t="shared" si="39"/>
        <v>46250</v>
      </c>
      <c r="I223" t="str">
        <f t="shared" si="40"/>
        <v>Monday</v>
      </c>
      <c r="J223" s="74">
        <f t="shared" si="41"/>
        <v>1</v>
      </c>
      <c r="K223" s="74" t="str">
        <f t="shared" si="42"/>
        <v>Aug-2026</v>
      </c>
    </row>
    <row r="224" spans="1:11">
      <c r="A224" s="73">
        <f t="shared" si="43"/>
        <v>46245</v>
      </c>
      <c r="B224" s="74">
        <f t="shared" si="33"/>
        <v>2026</v>
      </c>
      <c r="C224" s="74">
        <f t="shared" si="34"/>
        <v>8</v>
      </c>
      <c r="D224" t="str">
        <f t="shared" si="35"/>
        <v>August</v>
      </c>
      <c r="E224" s="74" t="str">
        <f t="shared" si="36"/>
        <v>Q3</v>
      </c>
      <c r="F224" s="74">
        <f t="shared" si="37"/>
        <v>33</v>
      </c>
      <c r="G224" s="73">
        <f t="shared" si="38"/>
        <v>46244</v>
      </c>
      <c r="H224" s="73">
        <f t="shared" si="39"/>
        <v>46250</v>
      </c>
      <c r="I224" t="str">
        <f t="shared" si="40"/>
        <v>Tuesday</v>
      </c>
      <c r="J224" s="74">
        <f t="shared" si="41"/>
        <v>2</v>
      </c>
      <c r="K224" s="74" t="str">
        <f t="shared" si="42"/>
        <v>Aug-2026</v>
      </c>
    </row>
    <row r="225" spans="1:11">
      <c r="A225" s="73">
        <f t="shared" si="43"/>
        <v>46246</v>
      </c>
      <c r="B225" s="74">
        <f t="shared" si="33"/>
        <v>2026</v>
      </c>
      <c r="C225" s="74">
        <f t="shared" si="34"/>
        <v>8</v>
      </c>
      <c r="D225" t="str">
        <f t="shared" si="35"/>
        <v>August</v>
      </c>
      <c r="E225" s="74" t="str">
        <f t="shared" si="36"/>
        <v>Q3</v>
      </c>
      <c r="F225" s="74">
        <f t="shared" si="37"/>
        <v>33</v>
      </c>
      <c r="G225" s="73">
        <f t="shared" si="38"/>
        <v>46244</v>
      </c>
      <c r="H225" s="73">
        <f t="shared" si="39"/>
        <v>46250</v>
      </c>
      <c r="I225" t="str">
        <f t="shared" si="40"/>
        <v>Wednesday</v>
      </c>
      <c r="J225" s="74">
        <f t="shared" si="41"/>
        <v>3</v>
      </c>
      <c r="K225" s="74" t="str">
        <f t="shared" si="42"/>
        <v>Aug-2026</v>
      </c>
    </row>
    <row r="226" spans="1:11">
      <c r="A226" s="73">
        <f t="shared" si="43"/>
        <v>46247</v>
      </c>
      <c r="B226" s="74">
        <f t="shared" si="33"/>
        <v>2026</v>
      </c>
      <c r="C226" s="74">
        <f t="shared" si="34"/>
        <v>8</v>
      </c>
      <c r="D226" t="str">
        <f t="shared" si="35"/>
        <v>August</v>
      </c>
      <c r="E226" s="74" t="str">
        <f t="shared" si="36"/>
        <v>Q3</v>
      </c>
      <c r="F226" s="74">
        <f t="shared" si="37"/>
        <v>33</v>
      </c>
      <c r="G226" s="73">
        <f t="shared" si="38"/>
        <v>46244</v>
      </c>
      <c r="H226" s="73">
        <f t="shared" si="39"/>
        <v>46250</v>
      </c>
      <c r="I226" t="str">
        <f t="shared" si="40"/>
        <v>Thursday</v>
      </c>
      <c r="J226" s="74">
        <f t="shared" si="41"/>
        <v>4</v>
      </c>
      <c r="K226" s="74" t="str">
        <f t="shared" si="42"/>
        <v>Aug-2026</v>
      </c>
    </row>
    <row r="227" spans="1:11">
      <c r="A227" s="73">
        <f t="shared" si="43"/>
        <v>46248</v>
      </c>
      <c r="B227" s="74">
        <f t="shared" si="33"/>
        <v>2026</v>
      </c>
      <c r="C227" s="74">
        <f t="shared" si="34"/>
        <v>8</v>
      </c>
      <c r="D227" t="str">
        <f t="shared" si="35"/>
        <v>August</v>
      </c>
      <c r="E227" s="74" t="str">
        <f t="shared" si="36"/>
        <v>Q3</v>
      </c>
      <c r="F227" s="74">
        <f t="shared" si="37"/>
        <v>33</v>
      </c>
      <c r="G227" s="73">
        <f t="shared" si="38"/>
        <v>46244</v>
      </c>
      <c r="H227" s="73">
        <f t="shared" si="39"/>
        <v>46250</v>
      </c>
      <c r="I227" t="str">
        <f t="shared" si="40"/>
        <v>Friday</v>
      </c>
      <c r="J227" s="74">
        <f t="shared" si="41"/>
        <v>5</v>
      </c>
      <c r="K227" s="74" t="str">
        <f t="shared" si="42"/>
        <v>Aug-2026</v>
      </c>
    </row>
    <row r="228" spans="1:11">
      <c r="A228" s="73">
        <f t="shared" si="43"/>
        <v>46249</v>
      </c>
      <c r="B228" s="74">
        <f t="shared" si="33"/>
        <v>2026</v>
      </c>
      <c r="C228" s="74">
        <f t="shared" si="34"/>
        <v>8</v>
      </c>
      <c r="D228" t="str">
        <f t="shared" si="35"/>
        <v>August</v>
      </c>
      <c r="E228" s="74" t="str">
        <f t="shared" si="36"/>
        <v>Q3</v>
      </c>
      <c r="F228" s="74">
        <f t="shared" si="37"/>
        <v>33</v>
      </c>
      <c r="G228" s="73">
        <f t="shared" si="38"/>
        <v>46244</v>
      </c>
      <c r="H228" s="73">
        <f t="shared" si="39"/>
        <v>46250</v>
      </c>
      <c r="I228" t="str">
        <f t="shared" si="40"/>
        <v>Saturday</v>
      </c>
      <c r="J228" s="74">
        <f t="shared" si="41"/>
        <v>6</v>
      </c>
      <c r="K228" s="74" t="str">
        <f t="shared" si="42"/>
        <v>Aug-2026</v>
      </c>
    </row>
    <row r="229" spans="1:11">
      <c r="A229" s="73">
        <f t="shared" si="43"/>
        <v>46250</v>
      </c>
      <c r="B229" s="74">
        <f t="shared" si="33"/>
        <v>2026</v>
      </c>
      <c r="C229" s="74">
        <f t="shared" si="34"/>
        <v>8</v>
      </c>
      <c r="D229" t="str">
        <f t="shared" si="35"/>
        <v>August</v>
      </c>
      <c r="E229" s="74" t="str">
        <f t="shared" si="36"/>
        <v>Q3</v>
      </c>
      <c r="F229" s="74">
        <f t="shared" si="37"/>
        <v>33</v>
      </c>
      <c r="G229" s="73">
        <f t="shared" si="38"/>
        <v>46244</v>
      </c>
      <c r="H229" s="73">
        <f t="shared" si="39"/>
        <v>46250</v>
      </c>
      <c r="I229" t="str">
        <f t="shared" si="40"/>
        <v>Sunday</v>
      </c>
      <c r="J229" s="74">
        <f t="shared" si="41"/>
        <v>7</v>
      </c>
      <c r="K229" s="74" t="str">
        <f t="shared" si="42"/>
        <v>Aug-2026</v>
      </c>
    </row>
    <row r="230" spans="1:11">
      <c r="A230" s="73">
        <f t="shared" si="43"/>
        <v>46251</v>
      </c>
      <c r="B230" s="74">
        <f t="shared" si="33"/>
        <v>2026</v>
      </c>
      <c r="C230" s="74">
        <f t="shared" si="34"/>
        <v>8</v>
      </c>
      <c r="D230" t="str">
        <f t="shared" si="35"/>
        <v>August</v>
      </c>
      <c r="E230" s="74" t="str">
        <f t="shared" si="36"/>
        <v>Q3</v>
      </c>
      <c r="F230" s="74">
        <f t="shared" si="37"/>
        <v>34</v>
      </c>
      <c r="G230" s="73">
        <f t="shared" si="38"/>
        <v>46251</v>
      </c>
      <c r="H230" s="73">
        <f t="shared" si="39"/>
        <v>46257</v>
      </c>
      <c r="I230" t="str">
        <f t="shared" si="40"/>
        <v>Monday</v>
      </c>
      <c r="J230" s="74">
        <f t="shared" si="41"/>
        <v>1</v>
      </c>
      <c r="K230" s="74" t="str">
        <f t="shared" si="42"/>
        <v>Aug-2026</v>
      </c>
    </row>
    <row r="231" spans="1:11">
      <c r="A231" s="73">
        <f t="shared" si="43"/>
        <v>46252</v>
      </c>
      <c r="B231" s="74">
        <f t="shared" si="33"/>
        <v>2026</v>
      </c>
      <c r="C231" s="74">
        <f t="shared" si="34"/>
        <v>8</v>
      </c>
      <c r="D231" t="str">
        <f t="shared" si="35"/>
        <v>August</v>
      </c>
      <c r="E231" s="74" t="str">
        <f t="shared" si="36"/>
        <v>Q3</v>
      </c>
      <c r="F231" s="74">
        <f t="shared" si="37"/>
        <v>34</v>
      </c>
      <c r="G231" s="73">
        <f t="shared" si="38"/>
        <v>46251</v>
      </c>
      <c r="H231" s="73">
        <f t="shared" si="39"/>
        <v>46257</v>
      </c>
      <c r="I231" t="str">
        <f t="shared" si="40"/>
        <v>Tuesday</v>
      </c>
      <c r="J231" s="74">
        <f t="shared" si="41"/>
        <v>2</v>
      </c>
      <c r="K231" s="74" t="str">
        <f t="shared" si="42"/>
        <v>Aug-2026</v>
      </c>
    </row>
    <row r="232" spans="1:11">
      <c r="A232" s="73">
        <f t="shared" si="43"/>
        <v>46253</v>
      </c>
      <c r="B232" s="74">
        <f t="shared" si="33"/>
        <v>2026</v>
      </c>
      <c r="C232" s="74">
        <f t="shared" si="34"/>
        <v>8</v>
      </c>
      <c r="D232" t="str">
        <f t="shared" si="35"/>
        <v>August</v>
      </c>
      <c r="E232" s="74" t="str">
        <f t="shared" si="36"/>
        <v>Q3</v>
      </c>
      <c r="F232" s="74">
        <f t="shared" si="37"/>
        <v>34</v>
      </c>
      <c r="G232" s="73">
        <f t="shared" si="38"/>
        <v>46251</v>
      </c>
      <c r="H232" s="73">
        <f t="shared" si="39"/>
        <v>46257</v>
      </c>
      <c r="I232" t="str">
        <f t="shared" si="40"/>
        <v>Wednesday</v>
      </c>
      <c r="J232" s="74">
        <f t="shared" si="41"/>
        <v>3</v>
      </c>
      <c r="K232" s="74" t="str">
        <f t="shared" si="42"/>
        <v>Aug-2026</v>
      </c>
    </row>
    <row r="233" spans="1:11">
      <c r="A233" s="73">
        <f t="shared" si="43"/>
        <v>46254</v>
      </c>
      <c r="B233" s="74">
        <f t="shared" si="33"/>
        <v>2026</v>
      </c>
      <c r="C233" s="74">
        <f t="shared" si="34"/>
        <v>8</v>
      </c>
      <c r="D233" t="str">
        <f t="shared" si="35"/>
        <v>August</v>
      </c>
      <c r="E233" s="74" t="str">
        <f t="shared" si="36"/>
        <v>Q3</v>
      </c>
      <c r="F233" s="74">
        <f t="shared" si="37"/>
        <v>34</v>
      </c>
      <c r="G233" s="73">
        <f t="shared" si="38"/>
        <v>46251</v>
      </c>
      <c r="H233" s="73">
        <f t="shared" si="39"/>
        <v>46257</v>
      </c>
      <c r="I233" t="str">
        <f t="shared" si="40"/>
        <v>Thursday</v>
      </c>
      <c r="J233" s="74">
        <f t="shared" si="41"/>
        <v>4</v>
      </c>
      <c r="K233" s="74" t="str">
        <f t="shared" si="42"/>
        <v>Aug-2026</v>
      </c>
    </row>
    <row r="234" spans="1:11">
      <c r="A234" s="73">
        <f t="shared" si="43"/>
        <v>46255</v>
      </c>
      <c r="B234" s="74">
        <f t="shared" si="33"/>
        <v>2026</v>
      </c>
      <c r="C234" s="74">
        <f t="shared" si="34"/>
        <v>8</v>
      </c>
      <c r="D234" t="str">
        <f t="shared" si="35"/>
        <v>August</v>
      </c>
      <c r="E234" s="74" t="str">
        <f t="shared" si="36"/>
        <v>Q3</v>
      </c>
      <c r="F234" s="74">
        <f t="shared" si="37"/>
        <v>34</v>
      </c>
      <c r="G234" s="73">
        <f t="shared" si="38"/>
        <v>46251</v>
      </c>
      <c r="H234" s="73">
        <f t="shared" si="39"/>
        <v>46257</v>
      </c>
      <c r="I234" t="str">
        <f t="shared" si="40"/>
        <v>Friday</v>
      </c>
      <c r="J234" s="74">
        <f t="shared" si="41"/>
        <v>5</v>
      </c>
      <c r="K234" s="74" t="str">
        <f t="shared" si="42"/>
        <v>Aug-2026</v>
      </c>
    </row>
    <row r="235" spans="1:11">
      <c r="A235" s="73">
        <f t="shared" si="43"/>
        <v>46256</v>
      </c>
      <c r="B235" s="74">
        <f t="shared" si="33"/>
        <v>2026</v>
      </c>
      <c r="C235" s="74">
        <f t="shared" si="34"/>
        <v>8</v>
      </c>
      <c r="D235" t="str">
        <f t="shared" si="35"/>
        <v>August</v>
      </c>
      <c r="E235" s="74" t="str">
        <f t="shared" si="36"/>
        <v>Q3</v>
      </c>
      <c r="F235" s="74">
        <f t="shared" si="37"/>
        <v>34</v>
      </c>
      <c r="G235" s="73">
        <f t="shared" si="38"/>
        <v>46251</v>
      </c>
      <c r="H235" s="73">
        <f t="shared" si="39"/>
        <v>46257</v>
      </c>
      <c r="I235" t="str">
        <f t="shared" si="40"/>
        <v>Saturday</v>
      </c>
      <c r="J235" s="74">
        <f t="shared" si="41"/>
        <v>6</v>
      </c>
      <c r="K235" s="74" t="str">
        <f t="shared" si="42"/>
        <v>Aug-2026</v>
      </c>
    </row>
    <row r="236" spans="1:11">
      <c r="A236" s="73">
        <f t="shared" si="43"/>
        <v>46257</v>
      </c>
      <c r="B236" s="74">
        <f t="shared" si="33"/>
        <v>2026</v>
      </c>
      <c r="C236" s="74">
        <f t="shared" si="34"/>
        <v>8</v>
      </c>
      <c r="D236" t="str">
        <f t="shared" si="35"/>
        <v>August</v>
      </c>
      <c r="E236" s="74" t="str">
        <f t="shared" si="36"/>
        <v>Q3</v>
      </c>
      <c r="F236" s="74">
        <f t="shared" si="37"/>
        <v>34</v>
      </c>
      <c r="G236" s="73">
        <f t="shared" si="38"/>
        <v>46251</v>
      </c>
      <c r="H236" s="73">
        <f t="shared" si="39"/>
        <v>46257</v>
      </c>
      <c r="I236" t="str">
        <f t="shared" si="40"/>
        <v>Sunday</v>
      </c>
      <c r="J236" s="74">
        <f t="shared" si="41"/>
        <v>7</v>
      </c>
      <c r="K236" s="74" t="str">
        <f t="shared" si="42"/>
        <v>Aug-2026</v>
      </c>
    </row>
    <row r="237" spans="1:11">
      <c r="A237" s="73">
        <f t="shared" si="43"/>
        <v>46258</v>
      </c>
      <c r="B237" s="74">
        <f t="shared" si="33"/>
        <v>2026</v>
      </c>
      <c r="C237" s="74">
        <f t="shared" si="34"/>
        <v>8</v>
      </c>
      <c r="D237" t="str">
        <f t="shared" si="35"/>
        <v>August</v>
      </c>
      <c r="E237" s="74" t="str">
        <f t="shared" si="36"/>
        <v>Q3</v>
      </c>
      <c r="F237" s="74">
        <f t="shared" si="37"/>
        <v>35</v>
      </c>
      <c r="G237" s="73">
        <f t="shared" si="38"/>
        <v>46258</v>
      </c>
      <c r="H237" s="73">
        <f t="shared" si="39"/>
        <v>46264</v>
      </c>
      <c r="I237" t="str">
        <f t="shared" si="40"/>
        <v>Monday</v>
      </c>
      <c r="J237" s="74">
        <f t="shared" si="41"/>
        <v>1</v>
      </c>
      <c r="K237" s="74" t="str">
        <f t="shared" si="42"/>
        <v>Aug-2026</v>
      </c>
    </row>
    <row r="238" spans="1:11">
      <c r="A238" s="73">
        <f t="shared" si="43"/>
        <v>46259</v>
      </c>
      <c r="B238" s="74">
        <f t="shared" si="33"/>
        <v>2026</v>
      </c>
      <c r="C238" s="74">
        <f t="shared" si="34"/>
        <v>8</v>
      </c>
      <c r="D238" t="str">
        <f t="shared" si="35"/>
        <v>August</v>
      </c>
      <c r="E238" s="74" t="str">
        <f t="shared" si="36"/>
        <v>Q3</v>
      </c>
      <c r="F238" s="74">
        <f t="shared" si="37"/>
        <v>35</v>
      </c>
      <c r="G238" s="73">
        <f t="shared" si="38"/>
        <v>46258</v>
      </c>
      <c r="H238" s="73">
        <f t="shared" si="39"/>
        <v>46264</v>
      </c>
      <c r="I238" t="str">
        <f t="shared" si="40"/>
        <v>Tuesday</v>
      </c>
      <c r="J238" s="74">
        <f t="shared" si="41"/>
        <v>2</v>
      </c>
      <c r="K238" s="74" t="str">
        <f t="shared" si="42"/>
        <v>Aug-2026</v>
      </c>
    </row>
    <row r="239" spans="1:11">
      <c r="A239" s="73">
        <f t="shared" si="43"/>
        <v>46260</v>
      </c>
      <c r="B239" s="74">
        <f t="shared" si="33"/>
        <v>2026</v>
      </c>
      <c r="C239" s="74">
        <f t="shared" si="34"/>
        <v>8</v>
      </c>
      <c r="D239" t="str">
        <f t="shared" si="35"/>
        <v>August</v>
      </c>
      <c r="E239" s="74" t="str">
        <f t="shared" si="36"/>
        <v>Q3</v>
      </c>
      <c r="F239" s="74">
        <f t="shared" si="37"/>
        <v>35</v>
      </c>
      <c r="G239" s="73">
        <f t="shared" si="38"/>
        <v>46258</v>
      </c>
      <c r="H239" s="73">
        <f t="shared" si="39"/>
        <v>46264</v>
      </c>
      <c r="I239" t="str">
        <f t="shared" si="40"/>
        <v>Wednesday</v>
      </c>
      <c r="J239" s="74">
        <f t="shared" si="41"/>
        <v>3</v>
      </c>
      <c r="K239" s="74" t="str">
        <f t="shared" si="42"/>
        <v>Aug-2026</v>
      </c>
    </row>
    <row r="240" spans="1:11">
      <c r="A240" s="73">
        <f t="shared" si="43"/>
        <v>46261</v>
      </c>
      <c r="B240" s="74">
        <f t="shared" si="33"/>
        <v>2026</v>
      </c>
      <c r="C240" s="74">
        <f t="shared" si="34"/>
        <v>8</v>
      </c>
      <c r="D240" t="str">
        <f t="shared" si="35"/>
        <v>August</v>
      </c>
      <c r="E240" s="74" t="str">
        <f t="shared" si="36"/>
        <v>Q3</v>
      </c>
      <c r="F240" s="74">
        <f t="shared" si="37"/>
        <v>35</v>
      </c>
      <c r="G240" s="73">
        <f t="shared" si="38"/>
        <v>46258</v>
      </c>
      <c r="H240" s="73">
        <f t="shared" si="39"/>
        <v>46264</v>
      </c>
      <c r="I240" t="str">
        <f t="shared" si="40"/>
        <v>Thursday</v>
      </c>
      <c r="J240" s="74">
        <f t="shared" si="41"/>
        <v>4</v>
      </c>
      <c r="K240" s="74" t="str">
        <f t="shared" si="42"/>
        <v>Aug-2026</v>
      </c>
    </row>
    <row r="241" spans="1:11">
      <c r="A241" s="73">
        <f t="shared" si="43"/>
        <v>46262</v>
      </c>
      <c r="B241" s="74">
        <f t="shared" si="33"/>
        <v>2026</v>
      </c>
      <c r="C241" s="74">
        <f t="shared" si="34"/>
        <v>8</v>
      </c>
      <c r="D241" t="str">
        <f t="shared" si="35"/>
        <v>August</v>
      </c>
      <c r="E241" s="74" t="str">
        <f t="shared" si="36"/>
        <v>Q3</v>
      </c>
      <c r="F241" s="74">
        <f t="shared" si="37"/>
        <v>35</v>
      </c>
      <c r="G241" s="73">
        <f t="shared" si="38"/>
        <v>46258</v>
      </c>
      <c r="H241" s="73">
        <f t="shared" si="39"/>
        <v>46264</v>
      </c>
      <c r="I241" t="str">
        <f t="shared" si="40"/>
        <v>Friday</v>
      </c>
      <c r="J241" s="74">
        <f t="shared" si="41"/>
        <v>5</v>
      </c>
      <c r="K241" s="74" t="str">
        <f t="shared" si="42"/>
        <v>Aug-2026</v>
      </c>
    </row>
    <row r="242" spans="1:11">
      <c r="A242" s="73">
        <f t="shared" si="43"/>
        <v>46263</v>
      </c>
      <c r="B242" s="74">
        <f t="shared" si="33"/>
        <v>2026</v>
      </c>
      <c r="C242" s="74">
        <f t="shared" si="34"/>
        <v>8</v>
      </c>
      <c r="D242" t="str">
        <f t="shared" si="35"/>
        <v>August</v>
      </c>
      <c r="E242" s="74" t="str">
        <f t="shared" si="36"/>
        <v>Q3</v>
      </c>
      <c r="F242" s="74">
        <f t="shared" si="37"/>
        <v>35</v>
      </c>
      <c r="G242" s="73">
        <f t="shared" si="38"/>
        <v>46258</v>
      </c>
      <c r="H242" s="73">
        <f t="shared" si="39"/>
        <v>46264</v>
      </c>
      <c r="I242" t="str">
        <f t="shared" si="40"/>
        <v>Saturday</v>
      </c>
      <c r="J242" s="74">
        <f t="shared" si="41"/>
        <v>6</v>
      </c>
      <c r="K242" s="74" t="str">
        <f t="shared" si="42"/>
        <v>Aug-2026</v>
      </c>
    </row>
    <row r="243" spans="1:11">
      <c r="A243" s="73">
        <f t="shared" si="43"/>
        <v>46264</v>
      </c>
      <c r="B243" s="74">
        <f t="shared" si="33"/>
        <v>2026</v>
      </c>
      <c r="C243" s="74">
        <f t="shared" si="34"/>
        <v>8</v>
      </c>
      <c r="D243" t="str">
        <f t="shared" si="35"/>
        <v>August</v>
      </c>
      <c r="E243" s="74" t="str">
        <f t="shared" si="36"/>
        <v>Q3</v>
      </c>
      <c r="F243" s="74">
        <f t="shared" si="37"/>
        <v>35</v>
      </c>
      <c r="G243" s="73">
        <f t="shared" si="38"/>
        <v>46258</v>
      </c>
      <c r="H243" s="73">
        <f t="shared" si="39"/>
        <v>46264</v>
      </c>
      <c r="I243" t="str">
        <f t="shared" si="40"/>
        <v>Sunday</v>
      </c>
      <c r="J243" s="74">
        <f t="shared" si="41"/>
        <v>7</v>
      </c>
      <c r="K243" s="74" t="str">
        <f t="shared" si="42"/>
        <v>Aug-2026</v>
      </c>
    </row>
    <row r="244" spans="1:11">
      <c r="A244" s="73">
        <f t="shared" si="43"/>
        <v>46265</v>
      </c>
      <c r="B244" s="74">
        <f t="shared" si="33"/>
        <v>2026</v>
      </c>
      <c r="C244" s="74">
        <f t="shared" si="34"/>
        <v>8</v>
      </c>
      <c r="D244" t="str">
        <f t="shared" si="35"/>
        <v>August</v>
      </c>
      <c r="E244" s="74" t="str">
        <f t="shared" si="36"/>
        <v>Q3</v>
      </c>
      <c r="F244" s="74">
        <f t="shared" si="37"/>
        <v>36</v>
      </c>
      <c r="G244" s="73">
        <f t="shared" si="38"/>
        <v>46265</v>
      </c>
      <c r="H244" s="73">
        <f t="shared" si="39"/>
        <v>46271</v>
      </c>
      <c r="I244" t="str">
        <f t="shared" si="40"/>
        <v>Monday</v>
      </c>
      <c r="J244" s="74">
        <f t="shared" si="41"/>
        <v>1</v>
      </c>
      <c r="K244" s="74" t="str">
        <f t="shared" si="42"/>
        <v>Aug-2026</v>
      </c>
    </row>
    <row r="245" spans="1:11">
      <c r="A245" s="73">
        <f t="shared" si="43"/>
        <v>46266</v>
      </c>
      <c r="B245" s="74">
        <f t="shared" si="33"/>
        <v>2026</v>
      </c>
      <c r="C245" s="74">
        <f t="shared" si="34"/>
        <v>9</v>
      </c>
      <c r="D245" t="str">
        <f t="shared" si="35"/>
        <v>September</v>
      </c>
      <c r="E245" s="74" t="str">
        <f t="shared" si="36"/>
        <v>Q3</v>
      </c>
      <c r="F245" s="74">
        <f t="shared" si="37"/>
        <v>36</v>
      </c>
      <c r="G245" s="73">
        <f t="shared" si="38"/>
        <v>46265</v>
      </c>
      <c r="H245" s="73">
        <f t="shared" si="39"/>
        <v>46271</v>
      </c>
      <c r="I245" t="str">
        <f t="shared" si="40"/>
        <v>Tuesday</v>
      </c>
      <c r="J245" s="74">
        <f t="shared" si="41"/>
        <v>2</v>
      </c>
      <c r="K245" s="74" t="str">
        <f t="shared" si="42"/>
        <v>Sep-2026</v>
      </c>
    </row>
    <row r="246" spans="1:11">
      <c r="A246" s="73">
        <f t="shared" si="43"/>
        <v>46267</v>
      </c>
      <c r="B246" s="74">
        <f t="shared" si="33"/>
        <v>2026</v>
      </c>
      <c r="C246" s="74">
        <f t="shared" si="34"/>
        <v>9</v>
      </c>
      <c r="D246" t="str">
        <f t="shared" si="35"/>
        <v>September</v>
      </c>
      <c r="E246" s="74" t="str">
        <f t="shared" si="36"/>
        <v>Q3</v>
      </c>
      <c r="F246" s="74">
        <f t="shared" si="37"/>
        <v>36</v>
      </c>
      <c r="G246" s="73">
        <f t="shared" si="38"/>
        <v>46265</v>
      </c>
      <c r="H246" s="73">
        <f t="shared" si="39"/>
        <v>46271</v>
      </c>
      <c r="I246" t="str">
        <f t="shared" si="40"/>
        <v>Wednesday</v>
      </c>
      <c r="J246" s="74">
        <f t="shared" si="41"/>
        <v>3</v>
      </c>
      <c r="K246" s="74" t="str">
        <f t="shared" si="42"/>
        <v>Sep-2026</v>
      </c>
    </row>
    <row r="247" spans="1:11">
      <c r="A247" s="73">
        <f t="shared" si="43"/>
        <v>46268</v>
      </c>
      <c r="B247" s="74">
        <f t="shared" si="33"/>
        <v>2026</v>
      </c>
      <c r="C247" s="74">
        <f t="shared" si="34"/>
        <v>9</v>
      </c>
      <c r="D247" t="str">
        <f t="shared" si="35"/>
        <v>September</v>
      </c>
      <c r="E247" s="74" t="str">
        <f t="shared" si="36"/>
        <v>Q3</v>
      </c>
      <c r="F247" s="74">
        <f t="shared" si="37"/>
        <v>36</v>
      </c>
      <c r="G247" s="73">
        <f t="shared" si="38"/>
        <v>46265</v>
      </c>
      <c r="H247" s="73">
        <f t="shared" si="39"/>
        <v>46271</v>
      </c>
      <c r="I247" t="str">
        <f t="shared" si="40"/>
        <v>Thursday</v>
      </c>
      <c r="J247" s="74">
        <f t="shared" si="41"/>
        <v>4</v>
      </c>
      <c r="K247" s="74" t="str">
        <f t="shared" si="42"/>
        <v>Sep-2026</v>
      </c>
    </row>
    <row r="248" spans="1:11">
      <c r="A248" s="73">
        <f t="shared" si="43"/>
        <v>46269</v>
      </c>
      <c r="B248" s="74">
        <f t="shared" si="33"/>
        <v>2026</v>
      </c>
      <c r="C248" s="74">
        <f t="shared" si="34"/>
        <v>9</v>
      </c>
      <c r="D248" t="str">
        <f t="shared" si="35"/>
        <v>September</v>
      </c>
      <c r="E248" s="74" t="str">
        <f t="shared" si="36"/>
        <v>Q3</v>
      </c>
      <c r="F248" s="74">
        <f t="shared" si="37"/>
        <v>36</v>
      </c>
      <c r="G248" s="73">
        <f t="shared" si="38"/>
        <v>46265</v>
      </c>
      <c r="H248" s="73">
        <f t="shared" si="39"/>
        <v>46271</v>
      </c>
      <c r="I248" t="str">
        <f t="shared" si="40"/>
        <v>Friday</v>
      </c>
      <c r="J248" s="74">
        <f t="shared" si="41"/>
        <v>5</v>
      </c>
      <c r="K248" s="74" t="str">
        <f t="shared" si="42"/>
        <v>Sep-2026</v>
      </c>
    </row>
    <row r="249" spans="1:11">
      <c r="A249" s="73">
        <f t="shared" si="43"/>
        <v>46270</v>
      </c>
      <c r="B249" s="74">
        <f t="shared" si="33"/>
        <v>2026</v>
      </c>
      <c r="C249" s="74">
        <f t="shared" si="34"/>
        <v>9</v>
      </c>
      <c r="D249" t="str">
        <f t="shared" si="35"/>
        <v>September</v>
      </c>
      <c r="E249" s="74" t="str">
        <f t="shared" si="36"/>
        <v>Q3</v>
      </c>
      <c r="F249" s="74">
        <f t="shared" si="37"/>
        <v>36</v>
      </c>
      <c r="G249" s="73">
        <f t="shared" si="38"/>
        <v>46265</v>
      </c>
      <c r="H249" s="73">
        <f t="shared" si="39"/>
        <v>46271</v>
      </c>
      <c r="I249" t="str">
        <f t="shared" si="40"/>
        <v>Saturday</v>
      </c>
      <c r="J249" s="74">
        <f t="shared" si="41"/>
        <v>6</v>
      </c>
      <c r="K249" s="74" t="str">
        <f t="shared" si="42"/>
        <v>Sep-2026</v>
      </c>
    </row>
    <row r="250" spans="1:11">
      <c r="A250" s="73">
        <f t="shared" si="43"/>
        <v>46271</v>
      </c>
      <c r="B250" s="74">
        <f t="shared" si="33"/>
        <v>2026</v>
      </c>
      <c r="C250" s="74">
        <f t="shared" si="34"/>
        <v>9</v>
      </c>
      <c r="D250" t="str">
        <f t="shared" si="35"/>
        <v>September</v>
      </c>
      <c r="E250" s="74" t="str">
        <f t="shared" si="36"/>
        <v>Q3</v>
      </c>
      <c r="F250" s="74">
        <f t="shared" si="37"/>
        <v>36</v>
      </c>
      <c r="G250" s="73">
        <f t="shared" si="38"/>
        <v>46265</v>
      </c>
      <c r="H250" s="73">
        <f t="shared" si="39"/>
        <v>46271</v>
      </c>
      <c r="I250" t="str">
        <f t="shared" si="40"/>
        <v>Sunday</v>
      </c>
      <c r="J250" s="74">
        <f t="shared" si="41"/>
        <v>7</v>
      </c>
      <c r="K250" s="74" t="str">
        <f t="shared" si="42"/>
        <v>Sep-2026</v>
      </c>
    </row>
    <row r="251" spans="1:11">
      <c r="A251" s="73">
        <f t="shared" si="43"/>
        <v>46272</v>
      </c>
      <c r="B251" s="74">
        <f t="shared" si="33"/>
        <v>2026</v>
      </c>
      <c r="C251" s="74">
        <f t="shared" si="34"/>
        <v>9</v>
      </c>
      <c r="D251" t="str">
        <f t="shared" si="35"/>
        <v>September</v>
      </c>
      <c r="E251" s="74" t="str">
        <f t="shared" si="36"/>
        <v>Q3</v>
      </c>
      <c r="F251" s="74">
        <f t="shared" si="37"/>
        <v>37</v>
      </c>
      <c r="G251" s="73">
        <f t="shared" si="38"/>
        <v>46272</v>
      </c>
      <c r="H251" s="73">
        <f t="shared" si="39"/>
        <v>46278</v>
      </c>
      <c r="I251" t="str">
        <f t="shared" si="40"/>
        <v>Monday</v>
      </c>
      <c r="J251" s="74">
        <f t="shared" si="41"/>
        <v>1</v>
      </c>
      <c r="K251" s="74" t="str">
        <f t="shared" si="42"/>
        <v>Sep-2026</v>
      </c>
    </row>
    <row r="252" spans="1:11">
      <c r="A252" s="73">
        <f t="shared" si="43"/>
        <v>46273</v>
      </c>
      <c r="B252" s="74">
        <f t="shared" si="33"/>
        <v>2026</v>
      </c>
      <c r="C252" s="74">
        <f t="shared" si="34"/>
        <v>9</v>
      </c>
      <c r="D252" t="str">
        <f t="shared" si="35"/>
        <v>September</v>
      </c>
      <c r="E252" s="74" t="str">
        <f t="shared" si="36"/>
        <v>Q3</v>
      </c>
      <c r="F252" s="74">
        <f t="shared" si="37"/>
        <v>37</v>
      </c>
      <c r="G252" s="73">
        <f t="shared" si="38"/>
        <v>46272</v>
      </c>
      <c r="H252" s="73">
        <f t="shared" si="39"/>
        <v>46278</v>
      </c>
      <c r="I252" t="str">
        <f t="shared" si="40"/>
        <v>Tuesday</v>
      </c>
      <c r="J252" s="74">
        <f t="shared" si="41"/>
        <v>2</v>
      </c>
      <c r="K252" s="74" t="str">
        <f t="shared" si="42"/>
        <v>Sep-2026</v>
      </c>
    </row>
    <row r="253" spans="1:11">
      <c r="A253" s="73">
        <f t="shared" si="43"/>
        <v>46274</v>
      </c>
      <c r="B253" s="74">
        <f t="shared" si="33"/>
        <v>2026</v>
      </c>
      <c r="C253" s="74">
        <f t="shared" si="34"/>
        <v>9</v>
      </c>
      <c r="D253" t="str">
        <f t="shared" si="35"/>
        <v>September</v>
      </c>
      <c r="E253" s="74" t="str">
        <f t="shared" si="36"/>
        <v>Q3</v>
      </c>
      <c r="F253" s="74">
        <f t="shared" si="37"/>
        <v>37</v>
      </c>
      <c r="G253" s="73">
        <f t="shared" si="38"/>
        <v>46272</v>
      </c>
      <c r="H253" s="73">
        <f t="shared" si="39"/>
        <v>46278</v>
      </c>
      <c r="I253" t="str">
        <f t="shared" si="40"/>
        <v>Wednesday</v>
      </c>
      <c r="J253" s="74">
        <f t="shared" si="41"/>
        <v>3</v>
      </c>
      <c r="K253" s="74" t="str">
        <f t="shared" si="42"/>
        <v>Sep-2026</v>
      </c>
    </row>
    <row r="254" spans="1:11">
      <c r="A254" s="73">
        <f t="shared" si="43"/>
        <v>46275</v>
      </c>
      <c r="B254" s="74">
        <f t="shared" si="33"/>
        <v>2026</v>
      </c>
      <c r="C254" s="74">
        <f t="shared" si="34"/>
        <v>9</v>
      </c>
      <c r="D254" t="str">
        <f t="shared" si="35"/>
        <v>September</v>
      </c>
      <c r="E254" s="74" t="str">
        <f t="shared" si="36"/>
        <v>Q3</v>
      </c>
      <c r="F254" s="74">
        <f t="shared" si="37"/>
        <v>37</v>
      </c>
      <c r="G254" s="73">
        <f t="shared" si="38"/>
        <v>46272</v>
      </c>
      <c r="H254" s="73">
        <f t="shared" si="39"/>
        <v>46278</v>
      </c>
      <c r="I254" t="str">
        <f t="shared" si="40"/>
        <v>Thursday</v>
      </c>
      <c r="J254" s="74">
        <f t="shared" si="41"/>
        <v>4</v>
      </c>
      <c r="K254" s="74" t="str">
        <f t="shared" si="42"/>
        <v>Sep-2026</v>
      </c>
    </row>
    <row r="255" spans="1:11">
      <c r="A255" s="73">
        <f t="shared" si="43"/>
        <v>46276</v>
      </c>
      <c r="B255" s="74">
        <f t="shared" si="33"/>
        <v>2026</v>
      </c>
      <c r="C255" s="74">
        <f t="shared" si="34"/>
        <v>9</v>
      </c>
      <c r="D255" t="str">
        <f t="shared" si="35"/>
        <v>September</v>
      </c>
      <c r="E255" s="74" t="str">
        <f t="shared" si="36"/>
        <v>Q3</v>
      </c>
      <c r="F255" s="74">
        <f t="shared" si="37"/>
        <v>37</v>
      </c>
      <c r="G255" s="73">
        <f t="shared" si="38"/>
        <v>46272</v>
      </c>
      <c r="H255" s="73">
        <f t="shared" si="39"/>
        <v>46278</v>
      </c>
      <c r="I255" t="str">
        <f t="shared" si="40"/>
        <v>Friday</v>
      </c>
      <c r="J255" s="74">
        <f t="shared" si="41"/>
        <v>5</v>
      </c>
      <c r="K255" s="74" t="str">
        <f t="shared" si="42"/>
        <v>Sep-2026</v>
      </c>
    </row>
    <row r="256" spans="1:11">
      <c r="A256" s="73">
        <f t="shared" si="43"/>
        <v>46277</v>
      </c>
      <c r="B256" s="74">
        <f t="shared" si="33"/>
        <v>2026</v>
      </c>
      <c r="C256" s="74">
        <f t="shared" si="34"/>
        <v>9</v>
      </c>
      <c r="D256" t="str">
        <f t="shared" si="35"/>
        <v>September</v>
      </c>
      <c r="E256" s="74" t="str">
        <f t="shared" si="36"/>
        <v>Q3</v>
      </c>
      <c r="F256" s="74">
        <f t="shared" si="37"/>
        <v>37</v>
      </c>
      <c r="G256" s="73">
        <f t="shared" si="38"/>
        <v>46272</v>
      </c>
      <c r="H256" s="73">
        <f t="shared" si="39"/>
        <v>46278</v>
      </c>
      <c r="I256" t="str">
        <f t="shared" si="40"/>
        <v>Saturday</v>
      </c>
      <c r="J256" s="74">
        <f t="shared" si="41"/>
        <v>6</v>
      </c>
      <c r="K256" s="74" t="str">
        <f t="shared" si="42"/>
        <v>Sep-2026</v>
      </c>
    </row>
    <row r="257" spans="1:11">
      <c r="A257" s="73">
        <f t="shared" si="43"/>
        <v>46278</v>
      </c>
      <c r="B257" s="74">
        <f t="shared" si="33"/>
        <v>2026</v>
      </c>
      <c r="C257" s="74">
        <f t="shared" si="34"/>
        <v>9</v>
      </c>
      <c r="D257" t="str">
        <f t="shared" si="35"/>
        <v>September</v>
      </c>
      <c r="E257" s="74" t="str">
        <f t="shared" si="36"/>
        <v>Q3</v>
      </c>
      <c r="F257" s="74">
        <f t="shared" si="37"/>
        <v>37</v>
      </c>
      <c r="G257" s="73">
        <f t="shared" si="38"/>
        <v>46272</v>
      </c>
      <c r="H257" s="73">
        <f t="shared" si="39"/>
        <v>46278</v>
      </c>
      <c r="I257" t="str">
        <f t="shared" si="40"/>
        <v>Sunday</v>
      </c>
      <c r="J257" s="74">
        <f t="shared" si="41"/>
        <v>7</v>
      </c>
      <c r="K257" s="74" t="str">
        <f t="shared" si="42"/>
        <v>Sep-2026</v>
      </c>
    </row>
    <row r="258" spans="1:11">
      <c r="A258" s="73">
        <f t="shared" si="43"/>
        <v>46279</v>
      </c>
      <c r="B258" s="74">
        <f t="shared" si="33"/>
        <v>2026</v>
      </c>
      <c r="C258" s="74">
        <f t="shared" si="34"/>
        <v>9</v>
      </c>
      <c r="D258" t="str">
        <f t="shared" si="35"/>
        <v>September</v>
      </c>
      <c r="E258" s="74" t="str">
        <f t="shared" si="36"/>
        <v>Q3</v>
      </c>
      <c r="F258" s="74">
        <f t="shared" si="37"/>
        <v>38</v>
      </c>
      <c r="G258" s="73">
        <f t="shared" si="38"/>
        <v>46279</v>
      </c>
      <c r="H258" s="73">
        <f t="shared" si="39"/>
        <v>46285</v>
      </c>
      <c r="I258" t="str">
        <f t="shared" si="40"/>
        <v>Monday</v>
      </c>
      <c r="J258" s="74">
        <f t="shared" si="41"/>
        <v>1</v>
      </c>
      <c r="K258" s="74" t="str">
        <f t="shared" si="42"/>
        <v>Sep-2026</v>
      </c>
    </row>
    <row r="259" spans="1:11">
      <c r="A259" s="73">
        <f t="shared" si="43"/>
        <v>46280</v>
      </c>
      <c r="B259" s="74">
        <f t="shared" ref="B259:B322" si="44">YEAR(A259)</f>
        <v>2026</v>
      </c>
      <c r="C259" s="74">
        <f t="shared" ref="C259:C322" si="45">MONTH(A259)</f>
        <v>9</v>
      </c>
      <c r="D259" t="str">
        <f t="shared" ref="D259:D322" si="46">TEXT(A259,"mmmm")</f>
        <v>September</v>
      </c>
      <c r="E259" s="74" t="str">
        <f t="shared" ref="E259:E322" si="47">"Q"&amp;ROUNDUP(MONTH(A259)/3,0)</f>
        <v>Q3</v>
      </c>
      <c r="F259" s="74">
        <f t="shared" ref="F259:F322" si="48">WEEKNUM(A259,2)</f>
        <v>38</v>
      </c>
      <c r="G259" s="73">
        <f t="shared" ref="G259:G322" si="49">A259-WEEKDAY(A259,2)+1</f>
        <v>46279</v>
      </c>
      <c r="H259" s="73">
        <f t="shared" ref="H259:H322" si="50">G259+6</f>
        <v>46285</v>
      </c>
      <c r="I259" t="str">
        <f t="shared" ref="I259:I322" si="51">TEXT(A259,"dddd")</f>
        <v>Tuesday</v>
      </c>
      <c r="J259" s="74">
        <f t="shared" ref="J259:J322" si="52">WEEKDAY(A259,2)</f>
        <v>2</v>
      </c>
      <c r="K259" s="74" t="str">
        <f t="shared" ref="K259:K322" si="53">TEXT(A259,"mmm-yyyy")</f>
        <v>Sep-2026</v>
      </c>
    </row>
    <row r="260" spans="1:11">
      <c r="A260" s="73">
        <f t="shared" ref="A260:A323" si="54">A259+1</f>
        <v>46281</v>
      </c>
      <c r="B260" s="74">
        <f t="shared" si="44"/>
        <v>2026</v>
      </c>
      <c r="C260" s="74">
        <f t="shared" si="45"/>
        <v>9</v>
      </c>
      <c r="D260" t="str">
        <f t="shared" si="46"/>
        <v>September</v>
      </c>
      <c r="E260" s="74" t="str">
        <f t="shared" si="47"/>
        <v>Q3</v>
      </c>
      <c r="F260" s="74">
        <f t="shared" si="48"/>
        <v>38</v>
      </c>
      <c r="G260" s="73">
        <f t="shared" si="49"/>
        <v>46279</v>
      </c>
      <c r="H260" s="73">
        <f t="shared" si="50"/>
        <v>46285</v>
      </c>
      <c r="I260" t="str">
        <f t="shared" si="51"/>
        <v>Wednesday</v>
      </c>
      <c r="J260" s="74">
        <f t="shared" si="52"/>
        <v>3</v>
      </c>
      <c r="K260" s="74" t="str">
        <f t="shared" si="53"/>
        <v>Sep-2026</v>
      </c>
    </row>
    <row r="261" spans="1:11">
      <c r="A261" s="73">
        <f t="shared" si="54"/>
        <v>46282</v>
      </c>
      <c r="B261" s="74">
        <f t="shared" si="44"/>
        <v>2026</v>
      </c>
      <c r="C261" s="74">
        <f t="shared" si="45"/>
        <v>9</v>
      </c>
      <c r="D261" t="str">
        <f t="shared" si="46"/>
        <v>September</v>
      </c>
      <c r="E261" s="74" t="str">
        <f t="shared" si="47"/>
        <v>Q3</v>
      </c>
      <c r="F261" s="74">
        <f t="shared" si="48"/>
        <v>38</v>
      </c>
      <c r="G261" s="73">
        <f t="shared" si="49"/>
        <v>46279</v>
      </c>
      <c r="H261" s="73">
        <f t="shared" si="50"/>
        <v>46285</v>
      </c>
      <c r="I261" t="str">
        <f t="shared" si="51"/>
        <v>Thursday</v>
      </c>
      <c r="J261" s="74">
        <f t="shared" si="52"/>
        <v>4</v>
      </c>
      <c r="K261" s="74" t="str">
        <f t="shared" si="53"/>
        <v>Sep-2026</v>
      </c>
    </row>
    <row r="262" spans="1:11">
      <c r="A262" s="73">
        <f t="shared" si="54"/>
        <v>46283</v>
      </c>
      <c r="B262" s="74">
        <f t="shared" si="44"/>
        <v>2026</v>
      </c>
      <c r="C262" s="74">
        <f t="shared" si="45"/>
        <v>9</v>
      </c>
      <c r="D262" t="str">
        <f t="shared" si="46"/>
        <v>September</v>
      </c>
      <c r="E262" s="74" t="str">
        <f t="shared" si="47"/>
        <v>Q3</v>
      </c>
      <c r="F262" s="74">
        <f t="shared" si="48"/>
        <v>38</v>
      </c>
      <c r="G262" s="73">
        <f t="shared" si="49"/>
        <v>46279</v>
      </c>
      <c r="H262" s="73">
        <f t="shared" si="50"/>
        <v>46285</v>
      </c>
      <c r="I262" t="str">
        <f t="shared" si="51"/>
        <v>Friday</v>
      </c>
      <c r="J262" s="74">
        <f t="shared" si="52"/>
        <v>5</v>
      </c>
      <c r="K262" s="74" t="str">
        <f t="shared" si="53"/>
        <v>Sep-2026</v>
      </c>
    </row>
    <row r="263" spans="1:11">
      <c r="A263" s="73">
        <f t="shared" si="54"/>
        <v>46284</v>
      </c>
      <c r="B263" s="74">
        <f t="shared" si="44"/>
        <v>2026</v>
      </c>
      <c r="C263" s="74">
        <f t="shared" si="45"/>
        <v>9</v>
      </c>
      <c r="D263" t="str">
        <f t="shared" si="46"/>
        <v>September</v>
      </c>
      <c r="E263" s="74" t="str">
        <f t="shared" si="47"/>
        <v>Q3</v>
      </c>
      <c r="F263" s="74">
        <f t="shared" si="48"/>
        <v>38</v>
      </c>
      <c r="G263" s="73">
        <f t="shared" si="49"/>
        <v>46279</v>
      </c>
      <c r="H263" s="73">
        <f t="shared" si="50"/>
        <v>46285</v>
      </c>
      <c r="I263" t="str">
        <f t="shared" si="51"/>
        <v>Saturday</v>
      </c>
      <c r="J263" s="74">
        <f t="shared" si="52"/>
        <v>6</v>
      </c>
      <c r="K263" s="74" t="str">
        <f t="shared" si="53"/>
        <v>Sep-2026</v>
      </c>
    </row>
    <row r="264" spans="1:11">
      <c r="A264" s="73">
        <f t="shared" si="54"/>
        <v>46285</v>
      </c>
      <c r="B264" s="74">
        <f t="shared" si="44"/>
        <v>2026</v>
      </c>
      <c r="C264" s="74">
        <f t="shared" si="45"/>
        <v>9</v>
      </c>
      <c r="D264" t="str">
        <f t="shared" si="46"/>
        <v>September</v>
      </c>
      <c r="E264" s="74" t="str">
        <f t="shared" si="47"/>
        <v>Q3</v>
      </c>
      <c r="F264" s="74">
        <f t="shared" si="48"/>
        <v>38</v>
      </c>
      <c r="G264" s="73">
        <f t="shared" si="49"/>
        <v>46279</v>
      </c>
      <c r="H264" s="73">
        <f t="shared" si="50"/>
        <v>46285</v>
      </c>
      <c r="I264" t="str">
        <f t="shared" si="51"/>
        <v>Sunday</v>
      </c>
      <c r="J264" s="74">
        <f t="shared" si="52"/>
        <v>7</v>
      </c>
      <c r="K264" s="74" t="str">
        <f t="shared" si="53"/>
        <v>Sep-2026</v>
      </c>
    </row>
    <row r="265" spans="1:11">
      <c r="A265" s="73">
        <f t="shared" si="54"/>
        <v>46286</v>
      </c>
      <c r="B265" s="74">
        <f t="shared" si="44"/>
        <v>2026</v>
      </c>
      <c r="C265" s="74">
        <f t="shared" si="45"/>
        <v>9</v>
      </c>
      <c r="D265" t="str">
        <f t="shared" si="46"/>
        <v>September</v>
      </c>
      <c r="E265" s="74" t="str">
        <f t="shared" si="47"/>
        <v>Q3</v>
      </c>
      <c r="F265" s="74">
        <f t="shared" si="48"/>
        <v>39</v>
      </c>
      <c r="G265" s="73">
        <f t="shared" si="49"/>
        <v>46286</v>
      </c>
      <c r="H265" s="73">
        <f t="shared" si="50"/>
        <v>46292</v>
      </c>
      <c r="I265" t="str">
        <f t="shared" si="51"/>
        <v>Monday</v>
      </c>
      <c r="J265" s="74">
        <f t="shared" si="52"/>
        <v>1</v>
      </c>
      <c r="K265" s="74" t="str">
        <f t="shared" si="53"/>
        <v>Sep-2026</v>
      </c>
    </row>
    <row r="266" spans="1:11">
      <c r="A266" s="73">
        <f t="shared" si="54"/>
        <v>46287</v>
      </c>
      <c r="B266" s="74">
        <f t="shared" si="44"/>
        <v>2026</v>
      </c>
      <c r="C266" s="74">
        <f t="shared" si="45"/>
        <v>9</v>
      </c>
      <c r="D266" t="str">
        <f t="shared" si="46"/>
        <v>September</v>
      </c>
      <c r="E266" s="74" t="str">
        <f t="shared" si="47"/>
        <v>Q3</v>
      </c>
      <c r="F266" s="74">
        <f t="shared" si="48"/>
        <v>39</v>
      </c>
      <c r="G266" s="73">
        <f t="shared" si="49"/>
        <v>46286</v>
      </c>
      <c r="H266" s="73">
        <f t="shared" si="50"/>
        <v>46292</v>
      </c>
      <c r="I266" t="str">
        <f t="shared" si="51"/>
        <v>Tuesday</v>
      </c>
      <c r="J266" s="74">
        <f t="shared" si="52"/>
        <v>2</v>
      </c>
      <c r="K266" s="74" t="str">
        <f t="shared" si="53"/>
        <v>Sep-2026</v>
      </c>
    </row>
    <row r="267" spans="1:11">
      <c r="A267" s="73">
        <f t="shared" si="54"/>
        <v>46288</v>
      </c>
      <c r="B267" s="74">
        <f t="shared" si="44"/>
        <v>2026</v>
      </c>
      <c r="C267" s="74">
        <f t="shared" si="45"/>
        <v>9</v>
      </c>
      <c r="D267" t="str">
        <f t="shared" si="46"/>
        <v>September</v>
      </c>
      <c r="E267" s="74" t="str">
        <f t="shared" si="47"/>
        <v>Q3</v>
      </c>
      <c r="F267" s="74">
        <f t="shared" si="48"/>
        <v>39</v>
      </c>
      <c r="G267" s="73">
        <f t="shared" si="49"/>
        <v>46286</v>
      </c>
      <c r="H267" s="73">
        <f t="shared" si="50"/>
        <v>46292</v>
      </c>
      <c r="I267" t="str">
        <f t="shared" si="51"/>
        <v>Wednesday</v>
      </c>
      <c r="J267" s="74">
        <f t="shared" si="52"/>
        <v>3</v>
      </c>
      <c r="K267" s="74" t="str">
        <f t="shared" si="53"/>
        <v>Sep-2026</v>
      </c>
    </row>
    <row r="268" spans="1:11">
      <c r="A268" s="73">
        <f t="shared" si="54"/>
        <v>46289</v>
      </c>
      <c r="B268" s="74">
        <f t="shared" si="44"/>
        <v>2026</v>
      </c>
      <c r="C268" s="74">
        <f t="shared" si="45"/>
        <v>9</v>
      </c>
      <c r="D268" t="str">
        <f t="shared" si="46"/>
        <v>September</v>
      </c>
      <c r="E268" s="74" t="str">
        <f t="shared" si="47"/>
        <v>Q3</v>
      </c>
      <c r="F268" s="74">
        <f t="shared" si="48"/>
        <v>39</v>
      </c>
      <c r="G268" s="73">
        <f t="shared" si="49"/>
        <v>46286</v>
      </c>
      <c r="H268" s="73">
        <f t="shared" si="50"/>
        <v>46292</v>
      </c>
      <c r="I268" t="str">
        <f t="shared" si="51"/>
        <v>Thursday</v>
      </c>
      <c r="J268" s="74">
        <f t="shared" si="52"/>
        <v>4</v>
      </c>
      <c r="K268" s="74" t="str">
        <f t="shared" si="53"/>
        <v>Sep-2026</v>
      </c>
    </row>
    <row r="269" spans="1:11">
      <c r="A269" s="73">
        <f t="shared" si="54"/>
        <v>46290</v>
      </c>
      <c r="B269" s="74">
        <f t="shared" si="44"/>
        <v>2026</v>
      </c>
      <c r="C269" s="74">
        <f t="shared" si="45"/>
        <v>9</v>
      </c>
      <c r="D269" t="str">
        <f t="shared" si="46"/>
        <v>September</v>
      </c>
      <c r="E269" s="74" t="str">
        <f t="shared" si="47"/>
        <v>Q3</v>
      </c>
      <c r="F269" s="74">
        <f t="shared" si="48"/>
        <v>39</v>
      </c>
      <c r="G269" s="73">
        <f t="shared" si="49"/>
        <v>46286</v>
      </c>
      <c r="H269" s="73">
        <f t="shared" si="50"/>
        <v>46292</v>
      </c>
      <c r="I269" t="str">
        <f t="shared" si="51"/>
        <v>Friday</v>
      </c>
      <c r="J269" s="74">
        <f t="shared" si="52"/>
        <v>5</v>
      </c>
      <c r="K269" s="74" t="str">
        <f t="shared" si="53"/>
        <v>Sep-2026</v>
      </c>
    </row>
    <row r="270" spans="1:11">
      <c r="A270" s="73">
        <f t="shared" si="54"/>
        <v>46291</v>
      </c>
      <c r="B270" s="74">
        <f t="shared" si="44"/>
        <v>2026</v>
      </c>
      <c r="C270" s="74">
        <f t="shared" si="45"/>
        <v>9</v>
      </c>
      <c r="D270" t="str">
        <f t="shared" si="46"/>
        <v>September</v>
      </c>
      <c r="E270" s="74" t="str">
        <f t="shared" si="47"/>
        <v>Q3</v>
      </c>
      <c r="F270" s="74">
        <f t="shared" si="48"/>
        <v>39</v>
      </c>
      <c r="G270" s="73">
        <f t="shared" si="49"/>
        <v>46286</v>
      </c>
      <c r="H270" s="73">
        <f t="shared" si="50"/>
        <v>46292</v>
      </c>
      <c r="I270" t="str">
        <f t="shared" si="51"/>
        <v>Saturday</v>
      </c>
      <c r="J270" s="74">
        <f t="shared" si="52"/>
        <v>6</v>
      </c>
      <c r="K270" s="74" t="str">
        <f t="shared" si="53"/>
        <v>Sep-2026</v>
      </c>
    </row>
    <row r="271" spans="1:11">
      <c r="A271" s="73">
        <f t="shared" si="54"/>
        <v>46292</v>
      </c>
      <c r="B271" s="74">
        <f t="shared" si="44"/>
        <v>2026</v>
      </c>
      <c r="C271" s="74">
        <f t="shared" si="45"/>
        <v>9</v>
      </c>
      <c r="D271" t="str">
        <f t="shared" si="46"/>
        <v>September</v>
      </c>
      <c r="E271" s="74" t="str">
        <f t="shared" si="47"/>
        <v>Q3</v>
      </c>
      <c r="F271" s="74">
        <f t="shared" si="48"/>
        <v>39</v>
      </c>
      <c r="G271" s="73">
        <f t="shared" si="49"/>
        <v>46286</v>
      </c>
      <c r="H271" s="73">
        <f t="shared" si="50"/>
        <v>46292</v>
      </c>
      <c r="I271" t="str">
        <f t="shared" si="51"/>
        <v>Sunday</v>
      </c>
      <c r="J271" s="74">
        <f t="shared" si="52"/>
        <v>7</v>
      </c>
      <c r="K271" s="74" t="str">
        <f t="shared" si="53"/>
        <v>Sep-2026</v>
      </c>
    </row>
    <row r="272" spans="1:11">
      <c r="A272" s="73">
        <f t="shared" si="54"/>
        <v>46293</v>
      </c>
      <c r="B272" s="74">
        <f t="shared" si="44"/>
        <v>2026</v>
      </c>
      <c r="C272" s="74">
        <f t="shared" si="45"/>
        <v>9</v>
      </c>
      <c r="D272" t="str">
        <f t="shared" si="46"/>
        <v>September</v>
      </c>
      <c r="E272" s="74" t="str">
        <f t="shared" si="47"/>
        <v>Q3</v>
      </c>
      <c r="F272" s="74">
        <f t="shared" si="48"/>
        <v>40</v>
      </c>
      <c r="G272" s="73">
        <f t="shared" si="49"/>
        <v>46293</v>
      </c>
      <c r="H272" s="73">
        <f t="shared" si="50"/>
        <v>46299</v>
      </c>
      <c r="I272" t="str">
        <f t="shared" si="51"/>
        <v>Monday</v>
      </c>
      <c r="J272" s="74">
        <f t="shared" si="52"/>
        <v>1</v>
      </c>
      <c r="K272" s="74" t="str">
        <f t="shared" si="53"/>
        <v>Sep-2026</v>
      </c>
    </row>
    <row r="273" spans="1:11">
      <c r="A273" s="73">
        <f t="shared" si="54"/>
        <v>46294</v>
      </c>
      <c r="B273" s="74">
        <f t="shared" si="44"/>
        <v>2026</v>
      </c>
      <c r="C273" s="74">
        <f t="shared" si="45"/>
        <v>9</v>
      </c>
      <c r="D273" t="str">
        <f t="shared" si="46"/>
        <v>September</v>
      </c>
      <c r="E273" s="74" t="str">
        <f t="shared" si="47"/>
        <v>Q3</v>
      </c>
      <c r="F273" s="74">
        <f t="shared" si="48"/>
        <v>40</v>
      </c>
      <c r="G273" s="73">
        <f t="shared" si="49"/>
        <v>46293</v>
      </c>
      <c r="H273" s="73">
        <f t="shared" si="50"/>
        <v>46299</v>
      </c>
      <c r="I273" t="str">
        <f t="shared" si="51"/>
        <v>Tuesday</v>
      </c>
      <c r="J273" s="74">
        <f t="shared" si="52"/>
        <v>2</v>
      </c>
      <c r="K273" s="74" t="str">
        <f t="shared" si="53"/>
        <v>Sep-2026</v>
      </c>
    </row>
    <row r="274" spans="1:11">
      <c r="A274" s="73">
        <f t="shared" si="54"/>
        <v>46295</v>
      </c>
      <c r="B274" s="74">
        <f t="shared" si="44"/>
        <v>2026</v>
      </c>
      <c r="C274" s="74">
        <f t="shared" si="45"/>
        <v>9</v>
      </c>
      <c r="D274" t="str">
        <f t="shared" si="46"/>
        <v>September</v>
      </c>
      <c r="E274" s="74" t="str">
        <f t="shared" si="47"/>
        <v>Q3</v>
      </c>
      <c r="F274" s="74">
        <f t="shared" si="48"/>
        <v>40</v>
      </c>
      <c r="G274" s="73">
        <f t="shared" si="49"/>
        <v>46293</v>
      </c>
      <c r="H274" s="73">
        <f t="shared" si="50"/>
        <v>46299</v>
      </c>
      <c r="I274" t="str">
        <f t="shared" si="51"/>
        <v>Wednesday</v>
      </c>
      <c r="J274" s="74">
        <f t="shared" si="52"/>
        <v>3</v>
      </c>
      <c r="K274" s="74" t="str">
        <f t="shared" si="53"/>
        <v>Sep-2026</v>
      </c>
    </row>
    <row r="275" spans="1:11">
      <c r="A275" s="73">
        <f t="shared" si="54"/>
        <v>46296</v>
      </c>
      <c r="B275" s="74">
        <f t="shared" si="44"/>
        <v>2026</v>
      </c>
      <c r="C275" s="74">
        <f t="shared" si="45"/>
        <v>10</v>
      </c>
      <c r="D275" t="str">
        <f t="shared" si="46"/>
        <v>October</v>
      </c>
      <c r="E275" s="74" t="str">
        <f t="shared" si="47"/>
        <v>Q4</v>
      </c>
      <c r="F275" s="74">
        <f t="shared" si="48"/>
        <v>40</v>
      </c>
      <c r="G275" s="73">
        <f t="shared" si="49"/>
        <v>46293</v>
      </c>
      <c r="H275" s="73">
        <f t="shared" si="50"/>
        <v>46299</v>
      </c>
      <c r="I275" t="str">
        <f t="shared" si="51"/>
        <v>Thursday</v>
      </c>
      <c r="J275" s="74">
        <f t="shared" si="52"/>
        <v>4</v>
      </c>
      <c r="K275" s="74" t="str">
        <f t="shared" si="53"/>
        <v>Oct-2026</v>
      </c>
    </row>
    <row r="276" spans="1:11">
      <c r="A276" s="73">
        <f t="shared" si="54"/>
        <v>46297</v>
      </c>
      <c r="B276" s="74">
        <f t="shared" si="44"/>
        <v>2026</v>
      </c>
      <c r="C276" s="74">
        <f t="shared" si="45"/>
        <v>10</v>
      </c>
      <c r="D276" t="str">
        <f t="shared" si="46"/>
        <v>October</v>
      </c>
      <c r="E276" s="74" t="str">
        <f t="shared" si="47"/>
        <v>Q4</v>
      </c>
      <c r="F276" s="74">
        <f t="shared" si="48"/>
        <v>40</v>
      </c>
      <c r="G276" s="73">
        <f t="shared" si="49"/>
        <v>46293</v>
      </c>
      <c r="H276" s="73">
        <f t="shared" si="50"/>
        <v>46299</v>
      </c>
      <c r="I276" t="str">
        <f t="shared" si="51"/>
        <v>Friday</v>
      </c>
      <c r="J276" s="74">
        <f t="shared" si="52"/>
        <v>5</v>
      </c>
      <c r="K276" s="74" t="str">
        <f t="shared" si="53"/>
        <v>Oct-2026</v>
      </c>
    </row>
    <row r="277" spans="1:11">
      <c r="A277" s="73">
        <f t="shared" si="54"/>
        <v>46298</v>
      </c>
      <c r="B277" s="74">
        <f t="shared" si="44"/>
        <v>2026</v>
      </c>
      <c r="C277" s="74">
        <f t="shared" si="45"/>
        <v>10</v>
      </c>
      <c r="D277" t="str">
        <f t="shared" si="46"/>
        <v>October</v>
      </c>
      <c r="E277" s="74" t="str">
        <f t="shared" si="47"/>
        <v>Q4</v>
      </c>
      <c r="F277" s="74">
        <f t="shared" si="48"/>
        <v>40</v>
      </c>
      <c r="G277" s="73">
        <f t="shared" si="49"/>
        <v>46293</v>
      </c>
      <c r="H277" s="73">
        <f t="shared" si="50"/>
        <v>46299</v>
      </c>
      <c r="I277" t="str">
        <f t="shared" si="51"/>
        <v>Saturday</v>
      </c>
      <c r="J277" s="74">
        <f t="shared" si="52"/>
        <v>6</v>
      </c>
      <c r="K277" s="74" t="str">
        <f t="shared" si="53"/>
        <v>Oct-2026</v>
      </c>
    </row>
    <row r="278" spans="1:11">
      <c r="A278" s="73">
        <f t="shared" si="54"/>
        <v>46299</v>
      </c>
      <c r="B278" s="74">
        <f t="shared" si="44"/>
        <v>2026</v>
      </c>
      <c r="C278" s="74">
        <f t="shared" si="45"/>
        <v>10</v>
      </c>
      <c r="D278" t="str">
        <f t="shared" si="46"/>
        <v>October</v>
      </c>
      <c r="E278" s="74" t="str">
        <f t="shared" si="47"/>
        <v>Q4</v>
      </c>
      <c r="F278" s="74">
        <f t="shared" si="48"/>
        <v>40</v>
      </c>
      <c r="G278" s="73">
        <f t="shared" si="49"/>
        <v>46293</v>
      </c>
      <c r="H278" s="73">
        <f t="shared" si="50"/>
        <v>46299</v>
      </c>
      <c r="I278" t="str">
        <f t="shared" si="51"/>
        <v>Sunday</v>
      </c>
      <c r="J278" s="74">
        <f t="shared" si="52"/>
        <v>7</v>
      </c>
      <c r="K278" s="74" t="str">
        <f t="shared" si="53"/>
        <v>Oct-2026</v>
      </c>
    </row>
    <row r="279" spans="1:11">
      <c r="A279" s="73">
        <f t="shared" si="54"/>
        <v>46300</v>
      </c>
      <c r="B279" s="74">
        <f t="shared" si="44"/>
        <v>2026</v>
      </c>
      <c r="C279" s="74">
        <f t="shared" si="45"/>
        <v>10</v>
      </c>
      <c r="D279" t="str">
        <f t="shared" si="46"/>
        <v>October</v>
      </c>
      <c r="E279" s="74" t="str">
        <f t="shared" si="47"/>
        <v>Q4</v>
      </c>
      <c r="F279" s="74">
        <f t="shared" si="48"/>
        <v>41</v>
      </c>
      <c r="G279" s="73">
        <f t="shared" si="49"/>
        <v>46300</v>
      </c>
      <c r="H279" s="73">
        <f t="shared" si="50"/>
        <v>46306</v>
      </c>
      <c r="I279" t="str">
        <f t="shared" si="51"/>
        <v>Monday</v>
      </c>
      <c r="J279" s="74">
        <f t="shared" si="52"/>
        <v>1</v>
      </c>
      <c r="K279" s="74" t="str">
        <f t="shared" si="53"/>
        <v>Oct-2026</v>
      </c>
    </row>
    <row r="280" spans="1:11">
      <c r="A280" s="73">
        <f t="shared" si="54"/>
        <v>46301</v>
      </c>
      <c r="B280" s="74">
        <f t="shared" si="44"/>
        <v>2026</v>
      </c>
      <c r="C280" s="74">
        <f t="shared" si="45"/>
        <v>10</v>
      </c>
      <c r="D280" t="str">
        <f t="shared" si="46"/>
        <v>October</v>
      </c>
      <c r="E280" s="74" t="str">
        <f t="shared" si="47"/>
        <v>Q4</v>
      </c>
      <c r="F280" s="74">
        <f t="shared" si="48"/>
        <v>41</v>
      </c>
      <c r="G280" s="73">
        <f t="shared" si="49"/>
        <v>46300</v>
      </c>
      <c r="H280" s="73">
        <f t="shared" si="50"/>
        <v>46306</v>
      </c>
      <c r="I280" t="str">
        <f t="shared" si="51"/>
        <v>Tuesday</v>
      </c>
      <c r="J280" s="74">
        <f t="shared" si="52"/>
        <v>2</v>
      </c>
      <c r="K280" s="74" t="str">
        <f t="shared" si="53"/>
        <v>Oct-2026</v>
      </c>
    </row>
    <row r="281" spans="1:11">
      <c r="A281" s="73">
        <f t="shared" si="54"/>
        <v>46302</v>
      </c>
      <c r="B281" s="74">
        <f t="shared" si="44"/>
        <v>2026</v>
      </c>
      <c r="C281" s="74">
        <f t="shared" si="45"/>
        <v>10</v>
      </c>
      <c r="D281" t="str">
        <f t="shared" si="46"/>
        <v>October</v>
      </c>
      <c r="E281" s="74" t="str">
        <f t="shared" si="47"/>
        <v>Q4</v>
      </c>
      <c r="F281" s="74">
        <f t="shared" si="48"/>
        <v>41</v>
      </c>
      <c r="G281" s="73">
        <f t="shared" si="49"/>
        <v>46300</v>
      </c>
      <c r="H281" s="73">
        <f t="shared" si="50"/>
        <v>46306</v>
      </c>
      <c r="I281" t="str">
        <f t="shared" si="51"/>
        <v>Wednesday</v>
      </c>
      <c r="J281" s="74">
        <f t="shared" si="52"/>
        <v>3</v>
      </c>
      <c r="K281" s="74" t="str">
        <f t="shared" si="53"/>
        <v>Oct-2026</v>
      </c>
    </row>
    <row r="282" spans="1:11">
      <c r="A282" s="73">
        <f t="shared" si="54"/>
        <v>46303</v>
      </c>
      <c r="B282" s="74">
        <f t="shared" si="44"/>
        <v>2026</v>
      </c>
      <c r="C282" s="74">
        <f t="shared" si="45"/>
        <v>10</v>
      </c>
      <c r="D282" t="str">
        <f t="shared" si="46"/>
        <v>October</v>
      </c>
      <c r="E282" s="74" t="str">
        <f t="shared" si="47"/>
        <v>Q4</v>
      </c>
      <c r="F282" s="74">
        <f t="shared" si="48"/>
        <v>41</v>
      </c>
      <c r="G282" s="73">
        <f t="shared" si="49"/>
        <v>46300</v>
      </c>
      <c r="H282" s="73">
        <f t="shared" si="50"/>
        <v>46306</v>
      </c>
      <c r="I282" t="str">
        <f t="shared" si="51"/>
        <v>Thursday</v>
      </c>
      <c r="J282" s="74">
        <f t="shared" si="52"/>
        <v>4</v>
      </c>
      <c r="K282" s="74" t="str">
        <f t="shared" si="53"/>
        <v>Oct-2026</v>
      </c>
    </row>
    <row r="283" spans="1:11">
      <c r="A283" s="73">
        <f t="shared" si="54"/>
        <v>46304</v>
      </c>
      <c r="B283" s="74">
        <f t="shared" si="44"/>
        <v>2026</v>
      </c>
      <c r="C283" s="74">
        <f t="shared" si="45"/>
        <v>10</v>
      </c>
      <c r="D283" t="str">
        <f t="shared" si="46"/>
        <v>October</v>
      </c>
      <c r="E283" s="74" t="str">
        <f t="shared" si="47"/>
        <v>Q4</v>
      </c>
      <c r="F283" s="74">
        <f t="shared" si="48"/>
        <v>41</v>
      </c>
      <c r="G283" s="73">
        <f t="shared" si="49"/>
        <v>46300</v>
      </c>
      <c r="H283" s="73">
        <f t="shared" si="50"/>
        <v>46306</v>
      </c>
      <c r="I283" t="str">
        <f t="shared" si="51"/>
        <v>Friday</v>
      </c>
      <c r="J283" s="74">
        <f t="shared" si="52"/>
        <v>5</v>
      </c>
      <c r="K283" s="74" t="str">
        <f t="shared" si="53"/>
        <v>Oct-2026</v>
      </c>
    </row>
    <row r="284" spans="1:11">
      <c r="A284" s="73">
        <f t="shared" si="54"/>
        <v>46305</v>
      </c>
      <c r="B284" s="74">
        <f t="shared" si="44"/>
        <v>2026</v>
      </c>
      <c r="C284" s="74">
        <f t="shared" si="45"/>
        <v>10</v>
      </c>
      <c r="D284" t="str">
        <f t="shared" si="46"/>
        <v>October</v>
      </c>
      <c r="E284" s="74" t="str">
        <f t="shared" si="47"/>
        <v>Q4</v>
      </c>
      <c r="F284" s="74">
        <f t="shared" si="48"/>
        <v>41</v>
      </c>
      <c r="G284" s="73">
        <f t="shared" si="49"/>
        <v>46300</v>
      </c>
      <c r="H284" s="73">
        <f t="shared" si="50"/>
        <v>46306</v>
      </c>
      <c r="I284" t="str">
        <f t="shared" si="51"/>
        <v>Saturday</v>
      </c>
      <c r="J284" s="74">
        <f t="shared" si="52"/>
        <v>6</v>
      </c>
      <c r="K284" s="74" t="str">
        <f t="shared" si="53"/>
        <v>Oct-2026</v>
      </c>
    </row>
    <row r="285" spans="1:11">
      <c r="A285" s="73">
        <f t="shared" si="54"/>
        <v>46306</v>
      </c>
      <c r="B285" s="74">
        <f t="shared" si="44"/>
        <v>2026</v>
      </c>
      <c r="C285" s="74">
        <f t="shared" si="45"/>
        <v>10</v>
      </c>
      <c r="D285" t="str">
        <f t="shared" si="46"/>
        <v>October</v>
      </c>
      <c r="E285" s="74" t="str">
        <f t="shared" si="47"/>
        <v>Q4</v>
      </c>
      <c r="F285" s="74">
        <f t="shared" si="48"/>
        <v>41</v>
      </c>
      <c r="G285" s="73">
        <f t="shared" si="49"/>
        <v>46300</v>
      </c>
      <c r="H285" s="73">
        <f t="shared" si="50"/>
        <v>46306</v>
      </c>
      <c r="I285" t="str">
        <f t="shared" si="51"/>
        <v>Sunday</v>
      </c>
      <c r="J285" s="74">
        <f t="shared" si="52"/>
        <v>7</v>
      </c>
      <c r="K285" s="74" t="str">
        <f t="shared" si="53"/>
        <v>Oct-2026</v>
      </c>
    </row>
    <row r="286" spans="1:11">
      <c r="A286" s="73">
        <f t="shared" si="54"/>
        <v>46307</v>
      </c>
      <c r="B286" s="74">
        <f t="shared" si="44"/>
        <v>2026</v>
      </c>
      <c r="C286" s="74">
        <f t="shared" si="45"/>
        <v>10</v>
      </c>
      <c r="D286" t="str">
        <f t="shared" si="46"/>
        <v>October</v>
      </c>
      <c r="E286" s="74" t="str">
        <f t="shared" si="47"/>
        <v>Q4</v>
      </c>
      <c r="F286" s="74">
        <f t="shared" si="48"/>
        <v>42</v>
      </c>
      <c r="G286" s="73">
        <f t="shared" si="49"/>
        <v>46307</v>
      </c>
      <c r="H286" s="73">
        <f t="shared" si="50"/>
        <v>46313</v>
      </c>
      <c r="I286" t="str">
        <f t="shared" si="51"/>
        <v>Monday</v>
      </c>
      <c r="J286" s="74">
        <f t="shared" si="52"/>
        <v>1</v>
      </c>
      <c r="K286" s="74" t="str">
        <f t="shared" si="53"/>
        <v>Oct-2026</v>
      </c>
    </row>
    <row r="287" spans="1:11">
      <c r="A287" s="73">
        <f t="shared" si="54"/>
        <v>46308</v>
      </c>
      <c r="B287" s="74">
        <f t="shared" si="44"/>
        <v>2026</v>
      </c>
      <c r="C287" s="74">
        <f t="shared" si="45"/>
        <v>10</v>
      </c>
      <c r="D287" t="str">
        <f t="shared" si="46"/>
        <v>October</v>
      </c>
      <c r="E287" s="74" t="str">
        <f t="shared" si="47"/>
        <v>Q4</v>
      </c>
      <c r="F287" s="74">
        <f t="shared" si="48"/>
        <v>42</v>
      </c>
      <c r="G287" s="73">
        <f t="shared" si="49"/>
        <v>46307</v>
      </c>
      <c r="H287" s="73">
        <f t="shared" si="50"/>
        <v>46313</v>
      </c>
      <c r="I287" t="str">
        <f t="shared" si="51"/>
        <v>Tuesday</v>
      </c>
      <c r="J287" s="74">
        <f t="shared" si="52"/>
        <v>2</v>
      </c>
      <c r="K287" s="74" t="str">
        <f t="shared" si="53"/>
        <v>Oct-2026</v>
      </c>
    </row>
    <row r="288" spans="1:11">
      <c r="A288" s="73">
        <f t="shared" si="54"/>
        <v>46309</v>
      </c>
      <c r="B288" s="74">
        <f t="shared" si="44"/>
        <v>2026</v>
      </c>
      <c r="C288" s="74">
        <f t="shared" si="45"/>
        <v>10</v>
      </c>
      <c r="D288" t="str">
        <f t="shared" si="46"/>
        <v>October</v>
      </c>
      <c r="E288" s="74" t="str">
        <f t="shared" si="47"/>
        <v>Q4</v>
      </c>
      <c r="F288" s="74">
        <f t="shared" si="48"/>
        <v>42</v>
      </c>
      <c r="G288" s="73">
        <f t="shared" si="49"/>
        <v>46307</v>
      </c>
      <c r="H288" s="73">
        <f t="shared" si="50"/>
        <v>46313</v>
      </c>
      <c r="I288" t="str">
        <f t="shared" si="51"/>
        <v>Wednesday</v>
      </c>
      <c r="J288" s="74">
        <f t="shared" si="52"/>
        <v>3</v>
      </c>
      <c r="K288" s="74" t="str">
        <f t="shared" si="53"/>
        <v>Oct-2026</v>
      </c>
    </row>
    <row r="289" spans="1:11">
      <c r="A289" s="73">
        <f t="shared" si="54"/>
        <v>46310</v>
      </c>
      <c r="B289" s="74">
        <f t="shared" si="44"/>
        <v>2026</v>
      </c>
      <c r="C289" s="74">
        <f t="shared" si="45"/>
        <v>10</v>
      </c>
      <c r="D289" t="str">
        <f t="shared" si="46"/>
        <v>October</v>
      </c>
      <c r="E289" s="74" t="str">
        <f t="shared" si="47"/>
        <v>Q4</v>
      </c>
      <c r="F289" s="74">
        <f t="shared" si="48"/>
        <v>42</v>
      </c>
      <c r="G289" s="73">
        <f t="shared" si="49"/>
        <v>46307</v>
      </c>
      <c r="H289" s="73">
        <f t="shared" si="50"/>
        <v>46313</v>
      </c>
      <c r="I289" t="str">
        <f t="shared" si="51"/>
        <v>Thursday</v>
      </c>
      <c r="J289" s="74">
        <f t="shared" si="52"/>
        <v>4</v>
      </c>
      <c r="K289" s="74" t="str">
        <f t="shared" si="53"/>
        <v>Oct-2026</v>
      </c>
    </row>
    <row r="290" spans="1:11">
      <c r="A290" s="73">
        <f t="shared" si="54"/>
        <v>46311</v>
      </c>
      <c r="B290" s="74">
        <f t="shared" si="44"/>
        <v>2026</v>
      </c>
      <c r="C290" s="74">
        <f t="shared" si="45"/>
        <v>10</v>
      </c>
      <c r="D290" t="str">
        <f t="shared" si="46"/>
        <v>October</v>
      </c>
      <c r="E290" s="74" t="str">
        <f t="shared" si="47"/>
        <v>Q4</v>
      </c>
      <c r="F290" s="74">
        <f t="shared" si="48"/>
        <v>42</v>
      </c>
      <c r="G290" s="73">
        <f t="shared" si="49"/>
        <v>46307</v>
      </c>
      <c r="H290" s="73">
        <f t="shared" si="50"/>
        <v>46313</v>
      </c>
      <c r="I290" t="str">
        <f t="shared" si="51"/>
        <v>Friday</v>
      </c>
      <c r="J290" s="74">
        <f t="shared" si="52"/>
        <v>5</v>
      </c>
      <c r="K290" s="74" t="str">
        <f t="shared" si="53"/>
        <v>Oct-2026</v>
      </c>
    </row>
    <row r="291" spans="1:11">
      <c r="A291" s="73">
        <f t="shared" si="54"/>
        <v>46312</v>
      </c>
      <c r="B291" s="74">
        <f t="shared" si="44"/>
        <v>2026</v>
      </c>
      <c r="C291" s="74">
        <f t="shared" si="45"/>
        <v>10</v>
      </c>
      <c r="D291" t="str">
        <f t="shared" si="46"/>
        <v>October</v>
      </c>
      <c r="E291" s="74" t="str">
        <f t="shared" si="47"/>
        <v>Q4</v>
      </c>
      <c r="F291" s="74">
        <f t="shared" si="48"/>
        <v>42</v>
      </c>
      <c r="G291" s="73">
        <f t="shared" si="49"/>
        <v>46307</v>
      </c>
      <c r="H291" s="73">
        <f t="shared" si="50"/>
        <v>46313</v>
      </c>
      <c r="I291" t="str">
        <f t="shared" si="51"/>
        <v>Saturday</v>
      </c>
      <c r="J291" s="74">
        <f t="shared" si="52"/>
        <v>6</v>
      </c>
      <c r="K291" s="74" t="str">
        <f t="shared" si="53"/>
        <v>Oct-2026</v>
      </c>
    </row>
    <row r="292" spans="1:11">
      <c r="A292" s="73">
        <f t="shared" si="54"/>
        <v>46313</v>
      </c>
      <c r="B292" s="74">
        <f t="shared" si="44"/>
        <v>2026</v>
      </c>
      <c r="C292" s="74">
        <f t="shared" si="45"/>
        <v>10</v>
      </c>
      <c r="D292" t="str">
        <f t="shared" si="46"/>
        <v>October</v>
      </c>
      <c r="E292" s="74" t="str">
        <f t="shared" si="47"/>
        <v>Q4</v>
      </c>
      <c r="F292" s="74">
        <f t="shared" si="48"/>
        <v>42</v>
      </c>
      <c r="G292" s="73">
        <f t="shared" si="49"/>
        <v>46307</v>
      </c>
      <c r="H292" s="73">
        <f t="shared" si="50"/>
        <v>46313</v>
      </c>
      <c r="I292" t="str">
        <f t="shared" si="51"/>
        <v>Sunday</v>
      </c>
      <c r="J292" s="74">
        <f t="shared" si="52"/>
        <v>7</v>
      </c>
      <c r="K292" s="74" t="str">
        <f t="shared" si="53"/>
        <v>Oct-2026</v>
      </c>
    </row>
    <row r="293" spans="1:11">
      <c r="A293" s="73">
        <f t="shared" si="54"/>
        <v>46314</v>
      </c>
      <c r="B293" s="74">
        <f t="shared" si="44"/>
        <v>2026</v>
      </c>
      <c r="C293" s="74">
        <f t="shared" si="45"/>
        <v>10</v>
      </c>
      <c r="D293" t="str">
        <f t="shared" si="46"/>
        <v>October</v>
      </c>
      <c r="E293" s="74" t="str">
        <f t="shared" si="47"/>
        <v>Q4</v>
      </c>
      <c r="F293" s="74">
        <f t="shared" si="48"/>
        <v>43</v>
      </c>
      <c r="G293" s="73">
        <f t="shared" si="49"/>
        <v>46314</v>
      </c>
      <c r="H293" s="73">
        <f t="shared" si="50"/>
        <v>46320</v>
      </c>
      <c r="I293" t="str">
        <f t="shared" si="51"/>
        <v>Monday</v>
      </c>
      <c r="J293" s="74">
        <f t="shared" si="52"/>
        <v>1</v>
      </c>
      <c r="K293" s="74" t="str">
        <f t="shared" si="53"/>
        <v>Oct-2026</v>
      </c>
    </row>
    <row r="294" spans="1:11">
      <c r="A294" s="73">
        <f t="shared" si="54"/>
        <v>46315</v>
      </c>
      <c r="B294" s="74">
        <f t="shared" si="44"/>
        <v>2026</v>
      </c>
      <c r="C294" s="74">
        <f t="shared" si="45"/>
        <v>10</v>
      </c>
      <c r="D294" t="str">
        <f t="shared" si="46"/>
        <v>October</v>
      </c>
      <c r="E294" s="74" t="str">
        <f t="shared" si="47"/>
        <v>Q4</v>
      </c>
      <c r="F294" s="74">
        <f t="shared" si="48"/>
        <v>43</v>
      </c>
      <c r="G294" s="73">
        <f t="shared" si="49"/>
        <v>46314</v>
      </c>
      <c r="H294" s="73">
        <f t="shared" si="50"/>
        <v>46320</v>
      </c>
      <c r="I294" t="str">
        <f t="shared" si="51"/>
        <v>Tuesday</v>
      </c>
      <c r="J294" s="74">
        <f t="shared" si="52"/>
        <v>2</v>
      </c>
      <c r="K294" s="74" t="str">
        <f t="shared" si="53"/>
        <v>Oct-2026</v>
      </c>
    </row>
    <row r="295" spans="1:11">
      <c r="A295" s="73">
        <f t="shared" si="54"/>
        <v>46316</v>
      </c>
      <c r="B295" s="74">
        <f t="shared" si="44"/>
        <v>2026</v>
      </c>
      <c r="C295" s="74">
        <f t="shared" si="45"/>
        <v>10</v>
      </c>
      <c r="D295" t="str">
        <f t="shared" si="46"/>
        <v>October</v>
      </c>
      <c r="E295" s="74" t="str">
        <f t="shared" si="47"/>
        <v>Q4</v>
      </c>
      <c r="F295" s="74">
        <f t="shared" si="48"/>
        <v>43</v>
      </c>
      <c r="G295" s="73">
        <f t="shared" si="49"/>
        <v>46314</v>
      </c>
      <c r="H295" s="73">
        <f t="shared" si="50"/>
        <v>46320</v>
      </c>
      <c r="I295" t="str">
        <f t="shared" si="51"/>
        <v>Wednesday</v>
      </c>
      <c r="J295" s="74">
        <f t="shared" si="52"/>
        <v>3</v>
      </c>
      <c r="K295" s="74" t="str">
        <f t="shared" si="53"/>
        <v>Oct-2026</v>
      </c>
    </row>
    <row r="296" spans="1:11">
      <c r="A296" s="73">
        <f t="shared" si="54"/>
        <v>46317</v>
      </c>
      <c r="B296" s="74">
        <f t="shared" si="44"/>
        <v>2026</v>
      </c>
      <c r="C296" s="74">
        <f t="shared" si="45"/>
        <v>10</v>
      </c>
      <c r="D296" t="str">
        <f t="shared" si="46"/>
        <v>October</v>
      </c>
      <c r="E296" s="74" t="str">
        <f t="shared" si="47"/>
        <v>Q4</v>
      </c>
      <c r="F296" s="74">
        <f t="shared" si="48"/>
        <v>43</v>
      </c>
      <c r="G296" s="73">
        <f t="shared" si="49"/>
        <v>46314</v>
      </c>
      <c r="H296" s="73">
        <f t="shared" si="50"/>
        <v>46320</v>
      </c>
      <c r="I296" t="str">
        <f t="shared" si="51"/>
        <v>Thursday</v>
      </c>
      <c r="J296" s="74">
        <f t="shared" si="52"/>
        <v>4</v>
      </c>
      <c r="K296" s="74" t="str">
        <f t="shared" si="53"/>
        <v>Oct-2026</v>
      </c>
    </row>
    <row r="297" spans="1:11">
      <c r="A297" s="73">
        <f t="shared" si="54"/>
        <v>46318</v>
      </c>
      <c r="B297" s="74">
        <f t="shared" si="44"/>
        <v>2026</v>
      </c>
      <c r="C297" s="74">
        <f t="shared" si="45"/>
        <v>10</v>
      </c>
      <c r="D297" t="str">
        <f t="shared" si="46"/>
        <v>October</v>
      </c>
      <c r="E297" s="74" t="str">
        <f t="shared" si="47"/>
        <v>Q4</v>
      </c>
      <c r="F297" s="74">
        <f t="shared" si="48"/>
        <v>43</v>
      </c>
      <c r="G297" s="73">
        <f t="shared" si="49"/>
        <v>46314</v>
      </c>
      <c r="H297" s="73">
        <f t="shared" si="50"/>
        <v>46320</v>
      </c>
      <c r="I297" t="str">
        <f t="shared" si="51"/>
        <v>Friday</v>
      </c>
      <c r="J297" s="74">
        <f t="shared" si="52"/>
        <v>5</v>
      </c>
      <c r="K297" s="74" t="str">
        <f t="shared" si="53"/>
        <v>Oct-2026</v>
      </c>
    </row>
    <row r="298" spans="1:11">
      <c r="A298" s="73">
        <f t="shared" si="54"/>
        <v>46319</v>
      </c>
      <c r="B298" s="74">
        <f t="shared" si="44"/>
        <v>2026</v>
      </c>
      <c r="C298" s="74">
        <f t="shared" si="45"/>
        <v>10</v>
      </c>
      <c r="D298" t="str">
        <f t="shared" si="46"/>
        <v>October</v>
      </c>
      <c r="E298" s="74" t="str">
        <f t="shared" si="47"/>
        <v>Q4</v>
      </c>
      <c r="F298" s="74">
        <f t="shared" si="48"/>
        <v>43</v>
      </c>
      <c r="G298" s="73">
        <f t="shared" si="49"/>
        <v>46314</v>
      </c>
      <c r="H298" s="73">
        <f t="shared" si="50"/>
        <v>46320</v>
      </c>
      <c r="I298" t="str">
        <f t="shared" si="51"/>
        <v>Saturday</v>
      </c>
      <c r="J298" s="74">
        <f t="shared" si="52"/>
        <v>6</v>
      </c>
      <c r="K298" s="74" t="str">
        <f t="shared" si="53"/>
        <v>Oct-2026</v>
      </c>
    </row>
    <row r="299" spans="1:11">
      <c r="A299" s="73">
        <f t="shared" si="54"/>
        <v>46320</v>
      </c>
      <c r="B299" s="74">
        <f t="shared" si="44"/>
        <v>2026</v>
      </c>
      <c r="C299" s="74">
        <f t="shared" si="45"/>
        <v>10</v>
      </c>
      <c r="D299" t="str">
        <f t="shared" si="46"/>
        <v>October</v>
      </c>
      <c r="E299" s="74" t="str">
        <f t="shared" si="47"/>
        <v>Q4</v>
      </c>
      <c r="F299" s="74">
        <f t="shared" si="48"/>
        <v>43</v>
      </c>
      <c r="G299" s="73">
        <f t="shared" si="49"/>
        <v>46314</v>
      </c>
      <c r="H299" s="73">
        <f t="shared" si="50"/>
        <v>46320</v>
      </c>
      <c r="I299" t="str">
        <f t="shared" si="51"/>
        <v>Sunday</v>
      </c>
      <c r="J299" s="74">
        <f t="shared" si="52"/>
        <v>7</v>
      </c>
      <c r="K299" s="74" t="str">
        <f t="shared" si="53"/>
        <v>Oct-2026</v>
      </c>
    </row>
    <row r="300" spans="1:11">
      <c r="A300" s="73">
        <f t="shared" si="54"/>
        <v>46321</v>
      </c>
      <c r="B300" s="74">
        <f t="shared" si="44"/>
        <v>2026</v>
      </c>
      <c r="C300" s="74">
        <f t="shared" si="45"/>
        <v>10</v>
      </c>
      <c r="D300" t="str">
        <f t="shared" si="46"/>
        <v>October</v>
      </c>
      <c r="E300" s="74" t="str">
        <f t="shared" si="47"/>
        <v>Q4</v>
      </c>
      <c r="F300" s="74">
        <f t="shared" si="48"/>
        <v>44</v>
      </c>
      <c r="G300" s="73">
        <f t="shared" si="49"/>
        <v>46321</v>
      </c>
      <c r="H300" s="73">
        <f t="shared" si="50"/>
        <v>46327</v>
      </c>
      <c r="I300" t="str">
        <f t="shared" si="51"/>
        <v>Monday</v>
      </c>
      <c r="J300" s="74">
        <f t="shared" si="52"/>
        <v>1</v>
      </c>
      <c r="K300" s="74" t="str">
        <f t="shared" si="53"/>
        <v>Oct-2026</v>
      </c>
    </row>
    <row r="301" spans="1:11">
      <c r="A301" s="73">
        <f t="shared" si="54"/>
        <v>46322</v>
      </c>
      <c r="B301" s="74">
        <f t="shared" si="44"/>
        <v>2026</v>
      </c>
      <c r="C301" s="74">
        <f t="shared" si="45"/>
        <v>10</v>
      </c>
      <c r="D301" t="str">
        <f t="shared" si="46"/>
        <v>October</v>
      </c>
      <c r="E301" s="74" t="str">
        <f t="shared" si="47"/>
        <v>Q4</v>
      </c>
      <c r="F301" s="74">
        <f t="shared" si="48"/>
        <v>44</v>
      </c>
      <c r="G301" s="73">
        <f t="shared" si="49"/>
        <v>46321</v>
      </c>
      <c r="H301" s="73">
        <f t="shared" si="50"/>
        <v>46327</v>
      </c>
      <c r="I301" t="str">
        <f t="shared" si="51"/>
        <v>Tuesday</v>
      </c>
      <c r="J301" s="74">
        <f t="shared" si="52"/>
        <v>2</v>
      </c>
      <c r="K301" s="74" t="str">
        <f t="shared" si="53"/>
        <v>Oct-2026</v>
      </c>
    </row>
    <row r="302" spans="1:11">
      <c r="A302" s="73">
        <f t="shared" si="54"/>
        <v>46323</v>
      </c>
      <c r="B302" s="74">
        <f t="shared" si="44"/>
        <v>2026</v>
      </c>
      <c r="C302" s="74">
        <f t="shared" si="45"/>
        <v>10</v>
      </c>
      <c r="D302" t="str">
        <f t="shared" si="46"/>
        <v>October</v>
      </c>
      <c r="E302" s="74" t="str">
        <f t="shared" si="47"/>
        <v>Q4</v>
      </c>
      <c r="F302" s="74">
        <f t="shared" si="48"/>
        <v>44</v>
      </c>
      <c r="G302" s="73">
        <f t="shared" si="49"/>
        <v>46321</v>
      </c>
      <c r="H302" s="73">
        <f t="shared" si="50"/>
        <v>46327</v>
      </c>
      <c r="I302" t="str">
        <f t="shared" si="51"/>
        <v>Wednesday</v>
      </c>
      <c r="J302" s="74">
        <f t="shared" si="52"/>
        <v>3</v>
      </c>
      <c r="K302" s="74" t="str">
        <f t="shared" si="53"/>
        <v>Oct-2026</v>
      </c>
    </row>
    <row r="303" spans="1:11">
      <c r="A303" s="73">
        <f t="shared" si="54"/>
        <v>46324</v>
      </c>
      <c r="B303" s="74">
        <f t="shared" si="44"/>
        <v>2026</v>
      </c>
      <c r="C303" s="74">
        <f t="shared" si="45"/>
        <v>10</v>
      </c>
      <c r="D303" t="str">
        <f t="shared" si="46"/>
        <v>October</v>
      </c>
      <c r="E303" s="74" t="str">
        <f t="shared" si="47"/>
        <v>Q4</v>
      </c>
      <c r="F303" s="74">
        <f t="shared" si="48"/>
        <v>44</v>
      </c>
      <c r="G303" s="73">
        <f t="shared" si="49"/>
        <v>46321</v>
      </c>
      <c r="H303" s="73">
        <f t="shared" si="50"/>
        <v>46327</v>
      </c>
      <c r="I303" t="str">
        <f t="shared" si="51"/>
        <v>Thursday</v>
      </c>
      <c r="J303" s="74">
        <f t="shared" si="52"/>
        <v>4</v>
      </c>
      <c r="K303" s="74" t="str">
        <f t="shared" si="53"/>
        <v>Oct-2026</v>
      </c>
    </row>
    <row r="304" spans="1:11">
      <c r="A304" s="73">
        <f t="shared" si="54"/>
        <v>46325</v>
      </c>
      <c r="B304" s="74">
        <f t="shared" si="44"/>
        <v>2026</v>
      </c>
      <c r="C304" s="74">
        <f t="shared" si="45"/>
        <v>10</v>
      </c>
      <c r="D304" t="str">
        <f t="shared" si="46"/>
        <v>October</v>
      </c>
      <c r="E304" s="74" t="str">
        <f t="shared" si="47"/>
        <v>Q4</v>
      </c>
      <c r="F304" s="74">
        <f t="shared" si="48"/>
        <v>44</v>
      </c>
      <c r="G304" s="73">
        <f t="shared" si="49"/>
        <v>46321</v>
      </c>
      <c r="H304" s="73">
        <f t="shared" si="50"/>
        <v>46327</v>
      </c>
      <c r="I304" t="str">
        <f t="shared" si="51"/>
        <v>Friday</v>
      </c>
      <c r="J304" s="74">
        <f t="shared" si="52"/>
        <v>5</v>
      </c>
      <c r="K304" s="74" t="str">
        <f t="shared" si="53"/>
        <v>Oct-2026</v>
      </c>
    </row>
    <row r="305" spans="1:11">
      <c r="A305" s="73">
        <f t="shared" si="54"/>
        <v>46326</v>
      </c>
      <c r="B305" s="74">
        <f t="shared" si="44"/>
        <v>2026</v>
      </c>
      <c r="C305" s="74">
        <f t="shared" si="45"/>
        <v>10</v>
      </c>
      <c r="D305" t="str">
        <f t="shared" si="46"/>
        <v>October</v>
      </c>
      <c r="E305" s="74" t="str">
        <f t="shared" si="47"/>
        <v>Q4</v>
      </c>
      <c r="F305" s="74">
        <f t="shared" si="48"/>
        <v>44</v>
      </c>
      <c r="G305" s="73">
        <f t="shared" si="49"/>
        <v>46321</v>
      </c>
      <c r="H305" s="73">
        <f t="shared" si="50"/>
        <v>46327</v>
      </c>
      <c r="I305" t="str">
        <f t="shared" si="51"/>
        <v>Saturday</v>
      </c>
      <c r="J305" s="74">
        <f t="shared" si="52"/>
        <v>6</v>
      </c>
      <c r="K305" s="74" t="str">
        <f t="shared" si="53"/>
        <v>Oct-2026</v>
      </c>
    </row>
    <row r="306" spans="1:11">
      <c r="A306" s="73">
        <f t="shared" si="54"/>
        <v>46327</v>
      </c>
      <c r="B306" s="74">
        <f t="shared" si="44"/>
        <v>2026</v>
      </c>
      <c r="C306" s="74">
        <f t="shared" si="45"/>
        <v>11</v>
      </c>
      <c r="D306" t="str">
        <f t="shared" si="46"/>
        <v>November</v>
      </c>
      <c r="E306" s="74" t="str">
        <f t="shared" si="47"/>
        <v>Q4</v>
      </c>
      <c r="F306" s="74">
        <f t="shared" si="48"/>
        <v>44</v>
      </c>
      <c r="G306" s="73">
        <f t="shared" si="49"/>
        <v>46321</v>
      </c>
      <c r="H306" s="73">
        <f t="shared" si="50"/>
        <v>46327</v>
      </c>
      <c r="I306" t="str">
        <f t="shared" si="51"/>
        <v>Sunday</v>
      </c>
      <c r="J306" s="74">
        <f t="shared" si="52"/>
        <v>7</v>
      </c>
      <c r="K306" s="74" t="str">
        <f t="shared" si="53"/>
        <v>Nov-2026</v>
      </c>
    </row>
    <row r="307" spans="1:11">
      <c r="A307" s="73">
        <f t="shared" si="54"/>
        <v>46328</v>
      </c>
      <c r="B307" s="74">
        <f t="shared" si="44"/>
        <v>2026</v>
      </c>
      <c r="C307" s="74">
        <f t="shared" si="45"/>
        <v>11</v>
      </c>
      <c r="D307" t="str">
        <f t="shared" si="46"/>
        <v>November</v>
      </c>
      <c r="E307" s="74" t="str">
        <f t="shared" si="47"/>
        <v>Q4</v>
      </c>
      <c r="F307" s="74">
        <f t="shared" si="48"/>
        <v>45</v>
      </c>
      <c r="G307" s="73">
        <f t="shared" si="49"/>
        <v>46328</v>
      </c>
      <c r="H307" s="73">
        <f t="shared" si="50"/>
        <v>46334</v>
      </c>
      <c r="I307" t="str">
        <f t="shared" si="51"/>
        <v>Monday</v>
      </c>
      <c r="J307" s="74">
        <f t="shared" si="52"/>
        <v>1</v>
      </c>
      <c r="K307" s="74" t="str">
        <f t="shared" si="53"/>
        <v>Nov-2026</v>
      </c>
    </row>
    <row r="308" spans="1:11">
      <c r="A308" s="73">
        <f t="shared" si="54"/>
        <v>46329</v>
      </c>
      <c r="B308" s="74">
        <f t="shared" si="44"/>
        <v>2026</v>
      </c>
      <c r="C308" s="74">
        <f t="shared" si="45"/>
        <v>11</v>
      </c>
      <c r="D308" t="str">
        <f t="shared" si="46"/>
        <v>November</v>
      </c>
      <c r="E308" s="74" t="str">
        <f t="shared" si="47"/>
        <v>Q4</v>
      </c>
      <c r="F308" s="74">
        <f t="shared" si="48"/>
        <v>45</v>
      </c>
      <c r="G308" s="73">
        <f t="shared" si="49"/>
        <v>46328</v>
      </c>
      <c r="H308" s="73">
        <f t="shared" si="50"/>
        <v>46334</v>
      </c>
      <c r="I308" t="str">
        <f t="shared" si="51"/>
        <v>Tuesday</v>
      </c>
      <c r="J308" s="74">
        <f t="shared" si="52"/>
        <v>2</v>
      </c>
      <c r="K308" s="74" t="str">
        <f t="shared" si="53"/>
        <v>Nov-2026</v>
      </c>
    </row>
    <row r="309" spans="1:11">
      <c r="A309" s="73">
        <f t="shared" si="54"/>
        <v>46330</v>
      </c>
      <c r="B309" s="74">
        <f t="shared" si="44"/>
        <v>2026</v>
      </c>
      <c r="C309" s="74">
        <f t="shared" si="45"/>
        <v>11</v>
      </c>
      <c r="D309" t="str">
        <f t="shared" si="46"/>
        <v>November</v>
      </c>
      <c r="E309" s="74" t="str">
        <f t="shared" si="47"/>
        <v>Q4</v>
      </c>
      <c r="F309" s="74">
        <f t="shared" si="48"/>
        <v>45</v>
      </c>
      <c r="G309" s="73">
        <f t="shared" si="49"/>
        <v>46328</v>
      </c>
      <c r="H309" s="73">
        <f t="shared" si="50"/>
        <v>46334</v>
      </c>
      <c r="I309" t="str">
        <f t="shared" si="51"/>
        <v>Wednesday</v>
      </c>
      <c r="J309" s="74">
        <f t="shared" si="52"/>
        <v>3</v>
      </c>
      <c r="K309" s="74" t="str">
        <f t="shared" si="53"/>
        <v>Nov-2026</v>
      </c>
    </row>
    <row r="310" spans="1:11">
      <c r="A310" s="73">
        <f t="shared" si="54"/>
        <v>46331</v>
      </c>
      <c r="B310" s="74">
        <f t="shared" si="44"/>
        <v>2026</v>
      </c>
      <c r="C310" s="74">
        <f t="shared" si="45"/>
        <v>11</v>
      </c>
      <c r="D310" t="str">
        <f t="shared" si="46"/>
        <v>November</v>
      </c>
      <c r="E310" s="74" t="str">
        <f t="shared" si="47"/>
        <v>Q4</v>
      </c>
      <c r="F310" s="74">
        <f t="shared" si="48"/>
        <v>45</v>
      </c>
      <c r="G310" s="73">
        <f t="shared" si="49"/>
        <v>46328</v>
      </c>
      <c r="H310" s="73">
        <f t="shared" si="50"/>
        <v>46334</v>
      </c>
      <c r="I310" t="str">
        <f t="shared" si="51"/>
        <v>Thursday</v>
      </c>
      <c r="J310" s="74">
        <f t="shared" si="52"/>
        <v>4</v>
      </c>
      <c r="K310" s="74" t="str">
        <f t="shared" si="53"/>
        <v>Nov-2026</v>
      </c>
    </row>
    <row r="311" spans="1:11">
      <c r="A311" s="73">
        <f t="shared" si="54"/>
        <v>46332</v>
      </c>
      <c r="B311" s="74">
        <f t="shared" si="44"/>
        <v>2026</v>
      </c>
      <c r="C311" s="74">
        <f t="shared" si="45"/>
        <v>11</v>
      </c>
      <c r="D311" t="str">
        <f t="shared" si="46"/>
        <v>November</v>
      </c>
      <c r="E311" s="74" t="str">
        <f t="shared" si="47"/>
        <v>Q4</v>
      </c>
      <c r="F311" s="74">
        <f t="shared" si="48"/>
        <v>45</v>
      </c>
      <c r="G311" s="73">
        <f t="shared" si="49"/>
        <v>46328</v>
      </c>
      <c r="H311" s="73">
        <f t="shared" si="50"/>
        <v>46334</v>
      </c>
      <c r="I311" t="str">
        <f t="shared" si="51"/>
        <v>Friday</v>
      </c>
      <c r="J311" s="74">
        <f t="shared" si="52"/>
        <v>5</v>
      </c>
      <c r="K311" s="74" t="str">
        <f t="shared" si="53"/>
        <v>Nov-2026</v>
      </c>
    </row>
    <row r="312" spans="1:11">
      <c r="A312" s="73">
        <f t="shared" si="54"/>
        <v>46333</v>
      </c>
      <c r="B312" s="74">
        <f t="shared" si="44"/>
        <v>2026</v>
      </c>
      <c r="C312" s="74">
        <f t="shared" si="45"/>
        <v>11</v>
      </c>
      <c r="D312" t="str">
        <f t="shared" si="46"/>
        <v>November</v>
      </c>
      <c r="E312" s="74" t="str">
        <f t="shared" si="47"/>
        <v>Q4</v>
      </c>
      <c r="F312" s="74">
        <f t="shared" si="48"/>
        <v>45</v>
      </c>
      <c r="G312" s="73">
        <f t="shared" si="49"/>
        <v>46328</v>
      </c>
      <c r="H312" s="73">
        <f t="shared" si="50"/>
        <v>46334</v>
      </c>
      <c r="I312" t="str">
        <f t="shared" si="51"/>
        <v>Saturday</v>
      </c>
      <c r="J312" s="74">
        <f t="shared" si="52"/>
        <v>6</v>
      </c>
      <c r="K312" s="74" t="str">
        <f t="shared" si="53"/>
        <v>Nov-2026</v>
      </c>
    </row>
    <row r="313" spans="1:11">
      <c r="A313" s="73">
        <f t="shared" si="54"/>
        <v>46334</v>
      </c>
      <c r="B313" s="74">
        <f t="shared" si="44"/>
        <v>2026</v>
      </c>
      <c r="C313" s="74">
        <f t="shared" si="45"/>
        <v>11</v>
      </c>
      <c r="D313" t="str">
        <f t="shared" si="46"/>
        <v>November</v>
      </c>
      <c r="E313" s="74" t="str">
        <f t="shared" si="47"/>
        <v>Q4</v>
      </c>
      <c r="F313" s="74">
        <f t="shared" si="48"/>
        <v>45</v>
      </c>
      <c r="G313" s="73">
        <f t="shared" si="49"/>
        <v>46328</v>
      </c>
      <c r="H313" s="73">
        <f t="shared" si="50"/>
        <v>46334</v>
      </c>
      <c r="I313" t="str">
        <f t="shared" si="51"/>
        <v>Sunday</v>
      </c>
      <c r="J313" s="74">
        <f t="shared" si="52"/>
        <v>7</v>
      </c>
      <c r="K313" s="74" t="str">
        <f t="shared" si="53"/>
        <v>Nov-2026</v>
      </c>
    </row>
    <row r="314" spans="1:11">
      <c r="A314" s="73">
        <f t="shared" si="54"/>
        <v>46335</v>
      </c>
      <c r="B314" s="74">
        <f t="shared" si="44"/>
        <v>2026</v>
      </c>
      <c r="C314" s="74">
        <f t="shared" si="45"/>
        <v>11</v>
      </c>
      <c r="D314" t="str">
        <f t="shared" si="46"/>
        <v>November</v>
      </c>
      <c r="E314" s="74" t="str">
        <f t="shared" si="47"/>
        <v>Q4</v>
      </c>
      <c r="F314" s="74">
        <f t="shared" si="48"/>
        <v>46</v>
      </c>
      <c r="G314" s="73">
        <f t="shared" si="49"/>
        <v>46335</v>
      </c>
      <c r="H314" s="73">
        <f t="shared" si="50"/>
        <v>46341</v>
      </c>
      <c r="I314" t="str">
        <f t="shared" si="51"/>
        <v>Monday</v>
      </c>
      <c r="J314" s="74">
        <f t="shared" si="52"/>
        <v>1</v>
      </c>
      <c r="K314" s="74" t="str">
        <f t="shared" si="53"/>
        <v>Nov-2026</v>
      </c>
    </row>
    <row r="315" spans="1:11">
      <c r="A315" s="73">
        <f t="shared" si="54"/>
        <v>46336</v>
      </c>
      <c r="B315" s="74">
        <f t="shared" si="44"/>
        <v>2026</v>
      </c>
      <c r="C315" s="74">
        <f t="shared" si="45"/>
        <v>11</v>
      </c>
      <c r="D315" t="str">
        <f t="shared" si="46"/>
        <v>November</v>
      </c>
      <c r="E315" s="74" t="str">
        <f t="shared" si="47"/>
        <v>Q4</v>
      </c>
      <c r="F315" s="74">
        <f t="shared" si="48"/>
        <v>46</v>
      </c>
      <c r="G315" s="73">
        <f t="shared" si="49"/>
        <v>46335</v>
      </c>
      <c r="H315" s="73">
        <f t="shared" si="50"/>
        <v>46341</v>
      </c>
      <c r="I315" t="str">
        <f t="shared" si="51"/>
        <v>Tuesday</v>
      </c>
      <c r="J315" s="74">
        <f t="shared" si="52"/>
        <v>2</v>
      </c>
      <c r="K315" s="74" t="str">
        <f t="shared" si="53"/>
        <v>Nov-2026</v>
      </c>
    </row>
    <row r="316" spans="1:11">
      <c r="A316" s="73">
        <f t="shared" si="54"/>
        <v>46337</v>
      </c>
      <c r="B316" s="74">
        <f t="shared" si="44"/>
        <v>2026</v>
      </c>
      <c r="C316" s="74">
        <f t="shared" si="45"/>
        <v>11</v>
      </c>
      <c r="D316" t="str">
        <f t="shared" si="46"/>
        <v>November</v>
      </c>
      <c r="E316" s="74" t="str">
        <f t="shared" si="47"/>
        <v>Q4</v>
      </c>
      <c r="F316" s="74">
        <f t="shared" si="48"/>
        <v>46</v>
      </c>
      <c r="G316" s="73">
        <f t="shared" si="49"/>
        <v>46335</v>
      </c>
      <c r="H316" s="73">
        <f t="shared" si="50"/>
        <v>46341</v>
      </c>
      <c r="I316" t="str">
        <f t="shared" si="51"/>
        <v>Wednesday</v>
      </c>
      <c r="J316" s="74">
        <f t="shared" si="52"/>
        <v>3</v>
      </c>
      <c r="K316" s="74" t="str">
        <f t="shared" si="53"/>
        <v>Nov-2026</v>
      </c>
    </row>
    <row r="317" spans="1:11">
      <c r="A317" s="73">
        <f t="shared" si="54"/>
        <v>46338</v>
      </c>
      <c r="B317" s="74">
        <f t="shared" si="44"/>
        <v>2026</v>
      </c>
      <c r="C317" s="74">
        <f t="shared" si="45"/>
        <v>11</v>
      </c>
      <c r="D317" t="str">
        <f t="shared" si="46"/>
        <v>November</v>
      </c>
      <c r="E317" s="74" t="str">
        <f t="shared" si="47"/>
        <v>Q4</v>
      </c>
      <c r="F317" s="74">
        <f t="shared" si="48"/>
        <v>46</v>
      </c>
      <c r="G317" s="73">
        <f t="shared" si="49"/>
        <v>46335</v>
      </c>
      <c r="H317" s="73">
        <f t="shared" si="50"/>
        <v>46341</v>
      </c>
      <c r="I317" t="str">
        <f t="shared" si="51"/>
        <v>Thursday</v>
      </c>
      <c r="J317" s="74">
        <f t="shared" si="52"/>
        <v>4</v>
      </c>
      <c r="K317" s="74" t="str">
        <f t="shared" si="53"/>
        <v>Nov-2026</v>
      </c>
    </row>
    <row r="318" spans="1:11">
      <c r="A318" s="73">
        <f t="shared" si="54"/>
        <v>46339</v>
      </c>
      <c r="B318" s="74">
        <f t="shared" si="44"/>
        <v>2026</v>
      </c>
      <c r="C318" s="74">
        <f t="shared" si="45"/>
        <v>11</v>
      </c>
      <c r="D318" t="str">
        <f t="shared" si="46"/>
        <v>November</v>
      </c>
      <c r="E318" s="74" t="str">
        <f t="shared" si="47"/>
        <v>Q4</v>
      </c>
      <c r="F318" s="74">
        <f t="shared" si="48"/>
        <v>46</v>
      </c>
      <c r="G318" s="73">
        <f t="shared" si="49"/>
        <v>46335</v>
      </c>
      <c r="H318" s="73">
        <f t="shared" si="50"/>
        <v>46341</v>
      </c>
      <c r="I318" t="str">
        <f t="shared" si="51"/>
        <v>Friday</v>
      </c>
      <c r="J318" s="74">
        <f t="shared" si="52"/>
        <v>5</v>
      </c>
      <c r="K318" s="74" t="str">
        <f t="shared" si="53"/>
        <v>Nov-2026</v>
      </c>
    </row>
    <row r="319" spans="1:11">
      <c r="A319" s="73">
        <f t="shared" si="54"/>
        <v>46340</v>
      </c>
      <c r="B319" s="74">
        <f t="shared" si="44"/>
        <v>2026</v>
      </c>
      <c r="C319" s="74">
        <f t="shared" si="45"/>
        <v>11</v>
      </c>
      <c r="D319" t="str">
        <f t="shared" si="46"/>
        <v>November</v>
      </c>
      <c r="E319" s="74" t="str">
        <f t="shared" si="47"/>
        <v>Q4</v>
      </c>
      <c r="F319" s="74">
        <f t="shared" si="48"/>
        <v>46</v>
      </c>
      <c r="G319" s="73">
        <f t="shared" si="49"/>
        <v>46335</v>
      </c>
      <c r="H319" s="73">
        <f t="shared" si="50"/>
        <v>46341</v>
      </c>
      <c r="I319" t="str">
        <f t="shared" si="51"/>
        <v>Saturday</v>
      </c>
      <c r="J319" s="74">
        <f t="shared" si="52"/>
        <v>6</v>
      </c>
      <c r="K319" s="74" t="str">
        <f t="shared" si="53"/>
        <v>Nov-2026</v>
      </c>
    </row>
    <row r="320" spans="1:11">
      <c r="A320" s="73">
        <f t="shared" si="54"/>
        <v>46341</v>
      </c>
      <c r="B320" s="74">
        <f t="shared" si="44"/>
        <v>2026</v>
      </c>
      <c r="C320" s="74">
        <f t="shared" si="45"/>
        <v>11</v>
      </c>
      <c r="D320" t="str">
        <f t="shared" si="46"/>
        <v>November</v>
      </c>
      <c r="E320" s="74" t="str">
        <f t="shared" si="47"/>
        <v>Q4</v>
      </c>
      <c r="F320" s="74">
        <f t="shared" si="48"/>
        <v>46</v>
      </c>
      <c r="G320" s="73">
        <f t="shared" si="49"/>
        <v>46335</v>
      </c>
      <c r="H320" s="73">
        <f t="shared" si="50"/>
        <v>46341</v>
      </c>
      <c r="I320" t="str">
        <f t="shared" si="51"/>
        <v>Sunday</v>
      </c>
      <c r="J320" s="74">
        <f t="shared" si="52"/>
        <v>7</v>
      </c>
      <c r="K320" s="74" t="str">
        <f t="shared" si="53"/>
        <v>Nov-2026</v>
      </c>
    </row>
    <row r="321" spans="1:11">
      <c r="A321" s="73">
        <f t="shared" si="54"/>
        <v>46342</v>
      </c>
      <c r="B321" s="74">
        <f t="shared" si="44"/>
        <v>2026</v>
      </c>
      <c r="C321" s="74">
        <f t="shared" si="45"/>
        <v>11</v>
      </c>
      <c r="D321" t="str">
        <f t="shared" si="46"/>
        <v>November</v>
      </c>
      <c r="E321" s="74" t="str">
        <f t="shared" si="47"/>
        <v>Q4</v>
      </c>
      <c r="F321" s="74">
        <f t="shared" si="48"/>
        <v>47</v>
      </c>
      <c r="G321" s="73">
        <f t="shared" si="49"/>
        <v>46342</v>
      </c>
      <c r="H321" s="73">
        <f t="shared" si="50"/>
        <v>46348</v>
      </c>
      <c r="I321" t="str">
        <f t="shared" si="51"/>
        <v>Monday</v>
      </c>
      <c r="J321" s="74">
        <f t="shared" si="52"/>
        <v>1</v>
      </c>
      <c r="K321" s="74" t="str">
        <f t="shared" si="53"/>
        <v>Nov-2026</v>
      </c>
    </row>
    <row r="322" spans="1:11">
      <c r="A322" s="73">
        <f t="shared" si="54"/>
        <v>46343</v>
      </c>
      <c r="B322" s="74">
        <f t="shared" si="44"/>
        <v>2026</v>
      </c>
      <c r="C322" s="74">
        <f t="shared" si="45"/>
        <v>11</v>
      </c>
      <c r="D322" t="str">
        <f t="shared" si="46"/>
        <v>November</v>
      </c>
      <c r="E322" s="74" t="str">
        <f t="shared" si="47"/>
        <v>Q4</v>
      </c>
      <c r="F322" s="74">
        <f t="shared" si="48"/>
        <v>47</v>
      </c>
      <c r="G322" s="73">
        <f t="shared" si="49"/>
        <v>46342</v>
      </c>
      <c r="H322" s="73">
        <f t="shared" si="50"/>
        <v>46348</v>
      </c>
      <c r="I322" t="str">
        <f t="shared" si="51"/>
        <v>Tuesday</v>
      </c>
      <c r="J322" s="74">
        <f t="shared" si="52"/>
        <v>2</v>
      </c>
      <c r="K322" s="74" t="str">
        <f t="shared" si="53"/>
        <v>Nov-2026</v>
      </c>
    </row>
    <row r="323" spans="1:11">
      <c r="A323" s="73">
        <f t="shared" si="54"/>
        <v>46344</v>
      </c>
      <c r="B323" s="74">
        <f t="shared" ref="B323:B366" si="55">YEAR(A323)</f>
        <v>2026</v>
      </c>
      <c r="C323" s="74">
        <f t="shared" ref="C323:C366" si="56">MONTH(A323)</f>
        <v>11</v>
      </c>
      <c r="D323" t="str">
        <f t="shared" ref="D323:D366" si="57">TEXT(A323,"mmmm")</f>
        <v>November</v>
      </c>
      <c r="E323" s="74" t="str">
        <f t="shared" ref="E323:E366" si="58">"Q"&amp;ROUNDUP(MONTH(A323)/3,0)</f>
        <v>Q4</v>
      </c>
      <c r="F323" s="74">
        <f t="shared" ref="F323:F366" si="59">WEEKNUM(A323,2)</f>
        <v>47</v>
      </c>
      <c r="G323" s="73">
        <f t="shared" ref="G323:G366" si="60">A323-WEEKDAY(A323,2)+1</f>
        <v>46342</v>
      </c>
      <c r="H323" s="73">
        <f t="shared" ref="H323:H366" si="61">G323+6</f>
        <v>46348</v>
      </c>
      <c r="I323" t="str">
        <f t="shared" ref="I323:I366" si="62">TEXT(A323,"dddd")</f>
        <v>Wednesday</v>
      </c>
      <c r="J323" s="74">
        <f t="shared" ref="J323:J366" si="63">WEEKDAY(A323,2)</f>
        <v>3</v>
      </c>
      <c r="K323" s="74" t="str">
        <f t="shared" ref="K323:K366" si="64">TEXT(A323,"mmm-yyyy")</f>
        <v>Nov-2026</v>
      </c>
    </row>
    <row r="324" spans="1:11">
      <c r="A324" s="73">
        <f t="shared" ref="A324:A366" si="65">A323+1</f>
        <v>46345</v>
      </c>
      <c r="B324" s="74">
        <f t="shared" si="55"/>
        <v>2026</v>
      </c>
      <c r="C324" s="74">
        <f t="shared" si="56"/>
        <v>11</v>
      </c>
      <c r="D324" t="str">
        <f t="shared" si="57"/>
        <v>November</v>
      </c>
      <c r="E324" s="74" t="str">
        <f t="shared" si="58"/>
        <v>Q4</v>
      </c>
      <c r="F324" s="74">
        <f t="shared" si="59"/>
        <v>47</v>
      </c>
      <c r="G324" s="73">
        <f t="shared" si="60"/>
        <v>46342</v>
      </c>
      <c r="H324" s="73">
        <f t="shared" si="61"/>
        <v>46348</v>
      </c>
      <c r="I324" t="str">
        <f t="shared" si="62"/>
        <v>Thursday</v>
      </c>
      <c r="J324" s="74">
        <f t="shared" si="63"/>
        <v>4</v>
      </c>
      <c r="K324" s="74" t="str">
        <f t="shared" si="64"/>
        <v>Nov-2026</v>
      </c>
    </row>
    <row r="325" spans="1:11">
      <c r="A325" s="73">
        <f t="shared" si="65"/>
        <v>46346</v>
      </c>
      <c r="B325" s="74">
        <f t="shared" si="55"/>
        <v>2026</v>
      </c>
      <c r="C325" s="74">
        <f t="shared" si="56"/>
        <v>11</v>
      </c>
      <c r="D325" t="str">
        <f t="shared" si="57"/>
        <v>November</v>
      </c>
      <c r="E325" s="74" t="str">
        <f t="shared" si="58"/>
        <v>Q4</v>
      </c>
      <c r="F325" s="74">
        <f t="shared" si="59"/>
        <v>47</v>
      </c>
      <c r="G325" s="73">
        <f t="shared" si="60"/>
        <v>46342</v>
      </c>
      <c r="H325" s="73">
        <f t="shared" si="61"/>
        <v>46348</v>
      </c>
      <c r="I325" t="str">
        <f t="shared" si="62"/>
        <v>Friday</v>
      </c>
      <c r="J325" s="74">
        <f t="shared" si="63"/>
        <v>5</v>
      </c>
      <c r="K325" s="74" t="str">
        <f t="shared" si="64"/>
        <v>Nov-2026</v>
      </c>
    </row>
    <row r="326" spans="1:11">
      <c r="A326" s="73">
        <f t="shared" si="65"/>
        <v>46347</v>
      </c>
      <c r="B326" s="74">
        <f t="shared" si="55"/>
        <v>2026</v>
      </c>
      <c r="C326" s="74">
        <f t="shared" si="56"/>
        <v>11</v>
      </c>
      <c r="D326" t="str">
        <f t="shared" si="57"/>
        <v>November</v>
      </c>
      <c r="E326" s="74" t="str">
        <f t="shared" si="58"/>
        <v>Q4</v>
      </c>
      <c r="F326" s="74">
        <f t="shared" si="59"/>
        <v>47</v>
      </c>
      <c r="G326" s="73">
        <f t="shared" si="60"/>
        <v>46342</v>
      </c>
      <c r="H326" s="73">
        <f t="shared" si="61"/>
        <v>46348</v>
      </c>
      <c r="I326" t="str">
        <f t="shared" si="62"/>
        <v>Saturday</v>
      </c>
      <c r="J326" s="74">
        <f t="shared" si="63"/>
        <v>6</v>
      </c>
      <c r="K326" s="74" t="str">
        <f t="shared" si="64"/>
        <v>Nov-2026</v>
      </c>
    </row>
    <row r="327" spans="1:11">
      <c r="A327" s="73">
        <f t="shared" si="65"/>
        <v>46348</v>
      </c>
      <c r="B327" s="74">
        <f t="shared" si="55"/>
        <v>2026</v>
      </c>
      <c r="C327" s="74">
        <f t="shared" si="56"/>
        <v>11</v>
      </c>
      <c r="D327" t="str">
        <f t="shared" si="57"/>
        <v>November</v>
      </c>
      <c r="E327" s="74" t="str">
        <f t="shared" si="58"/>
        <v>Q4</v>
      </c>
      <c r="F327" s="74">
        <f t="shared" si="59"/>
        <v>47</v>
      </c>
      <c r="G327" s="73">
        <f t="shared" si="60"/>
        <v>46342</v>
      </c>
      <c r="H327" s="73">
        <f t="shared" si="61"/>
        <v>46348</v>
      </c>
      <c r="I327" t="str">
        <f t="shared" si="62"/>
        <v>Sunday</v>
      </c>
      <c r="J327" s="74">
        <f t="shared" si="63"/>
        <v>7</v>
      </c>
      <c r="K327" s="74" t="str">
        <f t="shared" si="64"/>
        <v>Nov-2026</v>
      </c>
    </row>
    <row r="328" spans="1:11">
      <c r="A328" s="73">
        <f t="shared" si="65"/>
        <v>46349</v>
      </c>
      <c r="B328" s="74">
        <f t="shared" si="55"/>
        <v>2026</v>
      </c>
      <c r="C328" s="74">
        <f t="shared" si="56"/>
        <v>11</v>
      </c>
      <c r="D328" t="str">
        <f t="shared" si="57"/>
        <v>November</v>
      </c>
      <c r="E328" s="74" t="str">
        <f t="shared" si="58"/>
        <v>Q4</v>
      </c>
      <c r="F328" s="74">
        <f t="shared" si="59"/>
        <v>48</v>
      </c>
      <c r="G328" s="73">
        <f t="shared" si="60"/>
        <v>46349</v>
      </c>
      <c r="H328" s="73">
        <f t="shared" si="61"/>
        <v>46355</v>
      </c>
      <c r="I328" t="str">
        <f t="shared" si="62"/>
        <v>Monday</v>
      </c>
      <c r="J328" s="74">
        <f t="shared" si="63"/>
        <v>1</v>
      </c>
      <c r="K328" s="74" t="str">
        <f t="shared" si="64"/>
        <v>Nov-2026</v>
      </c>
    </row>
    <row r="329" spans="1:11">
      <c r="A329" s="73">
        <f t="shared" si="65"/>
        <v>46350</v>
      </c>
      <c r="B329" s="74">
        <f t="shared" si="55"/>
        <v>2026</v>
      </c>
      <c r="C329" s="74">
        <f t="shared" si="56"/>
        <v>11</v>
      </c>
      <c r="D329" t="str">
        <f t="shared" si="57"/>
        <v>November</v>
      </c>
      <c r="E329" s="74" t="str">
        <f t="shared" si="58"/>
        <v>Q4</v>
      </c>
      <c r="F329" s="74">
        <f t="shared" si="59"/>
        <v>48</v>
      </c>
      <c r="G329" s="73">
        <f t="shared" si="60"/>
        <v>46349</v>
      </c>
      <c r="H329" s="73">
        <f t="shared" si="61"/>
        <v>46355</v>
      </c>
      <c r="I329" t="str">
        <f t="shared" si="62"/>
        <v>Tuesday</v>
      </c>
      <c r="J329" s="74">
        <f t="shared" si="63"/>
        <v>2</v>
      </c>
      <c r="K329" s="74" t="str">
        <f t="shared" si="64"/>
        <v>Nov-2026</v>
      </c>
    </row>
    <row r="330" spans="1:11">
      <c r="A330" s="73">
        <f t="shared" si="65"/>
        <v>46351</v>
      </c>
      <c r="B330" s="74">
        <f t="shared" si="55"/>
        <v>2026</v>
      </c>
      <c r="C330" s="74">
        <f t="shared" si="56"/>
        <v>11</v>
      </c>
      <c r="D330" t="str">
        <f t="shared" si="57"/>
        <v>November</v>
      </c>
      <c r="E330" s="74" t="str">
        <f t="shared" si="58"/>
        <v>Q4</v>
      </c>
      <c r="F330" s="74">
        <f t="shared" si="59"/>
        <v>48</v>
      </c>
      <c r="G330" s="73">
        <f t="shared" si="60"/>
        <v>46349</v>
      </c>
      <c r="H330" s="73">
        <f t="shared" si="61"/>
        <v>46355</v>
      </c>
      <c r="I330" t="str">
        <f t="shared" si="62"/>
        <v>Wednesday</v>
      </c>
      <c r="J330" s="74">
        <f t="shared" si="63"/>
        <v>3</v>
      </c>
      <c r="K330" s="74" t="str">
        <f t="shared" si="64"/>
        <v>Nov-2026</v>
      </c>
    </row>
    <row r="331" spans="1:11">
      <c r="A331" s="73">
        <f t="shared" si="65"/>
        <v>46352</v>
      </c>
      <c r="B331" s="74">
        <f t="shared" si="55"/>
        <v>2026</v>
      </c>
      <c r="C331" s="74">
        <f t="shared" si="56"/>
        <v>11</v>
      </c>
      <c r="D331" t="str">
        <f t="shared" si="57"/>
        <v>November</v>
      </c>
      <c r="E331" s="74" t="str">
        <f t="shared" si="58"/>
        <v>Q4</v>
      </c>
      <c r="F331" s="74">
        <f t="shared" si="59"/>
        <v>48</v>
      </c>
      <c r="G331" s="73">
        <f t="shared" si="60"/>
        <v>46349</v>
      </c>
      <c r="H331" s="73">
        <f t="shared" si="61"/>
        <v>46355</v>
      </c>
      <c r="I331" t="str">
        <f t="shared" si="62"/>
        <v>Thursday</v>
      </c>
      <c r="J331" s="74">
        <f t="shared" si="63"/>
        <v>4</v>
      </c>
      <c r="K331" s="74" t="str">
        <f t="shared" si="64"/>
        <v>Nov-2026</v>
      </c>
    </row>
    <row r="332" spans="1:11">
      <c r="A332" s="73">
        <f t="shared" si="65"/>
        <v>46353</v>
      </c>
      <c r="B332" s="74">
        <f t="shared" si="55"/>
        <v>2026</v>
      </c>
      <c r="C332" s="74">
        <f t="shared" si="56"/>
        <v>11</v>
      </c>
      <c r="D332" t="str">
        <f t="shared" si="57"/>
        <v>November</v>
      </c>
      <c r="E332" s="74" t="str">
        <f t="shared" si="58"/>
        <v>Q4</v>
      </c>
      <c r="F332" s="74">
        <f t="shared" si="59"/>
        <v>48</v>
      </c>
      <c r="G332" s="73">
        <f t="shared" si="60"/>
        <v>46349</v>
      </c>
      <c r="H332" s="73">
        <f t="shared" si="61"/>
        <v>46355</v>
      </c>
      <c r="I332" t="str">
        <f t="shared" si="62"/>
        <v>Friday</v>
      </c>
      <c r="J332" s="74">
        <f t="shared" si="63"/>
        <v>5</v>
      </c>
      <c r="K332" s="74" t="str">
        <f t="shared" si="64"/>
        <v>Nov-2026</v>
      </c>
    </row>
    <row r="333" spans="1:11">
      <c r="A333" s="73">
        <f t="shared" si="65"/>
        <v>46354</v>
      </c>
      <c r="B333" s="74">
        <f t="shared" si="55"/>
        <v>2026</v>
      </c>
      <c r="C333" s="74">
        <f t="shared" si="56"/>
        <v>11</v>
      </c>
      <c r="D333" t="str">
        <f t="shared" si="57"/>
        <v>November</v>
      </c>
      <c r="E333" s="74" t="str">
        <f t="shared" si="58"/>
        <v>Q4</v>
      </c>
      <c r="F333" s="74">
        <f t="shared" si="59"/>
        <v>48</v>
      </c>
      <c r="G333" s="73">
        <f t="shared" si="60"/>
        <v>46349</v>
      </c>
      <c r="H333" s="73">
        <f t="shared" si="61"/>
        <v>46355</v>
      </c>
      <c r="I333" t="str">
        <f t="shared" si="62"/>
        <v>Saturday</v>
      </c>
      <c r="J333" s="74">
        <f t="shared" si="63"/>
        <v>6</v>
      </c>
      <c r="K333" s="74" t="str">
        <f t="shared" si="64"/>
        <v>Nov-2026</v>
      </c>
    </row>
    <row r="334" spans="1:11">
      <c r="A334" s="73">
        <f t="shared" si="65"/>
        <v>46355</v>
      </c>
      <c r="B334" s="74">
        <f t="shared" si="55"/>
        <v>2026</v>
      </c>
      <c r="C334" s="74">
        <f t="shared" si="56"/>
        <v>11</v>
      </c>
      <c r="D334" t="str">
        <f t="shared" si="57"/>
        <v>November</v>
      </c>
      <c r="E334" s="74" t="str">
        <f t="shared" si="58"/>
        <v>Q4</v>
      </c>
      <c r="F334" s="74">
        <f t="shared" si="59"/>
        <v>48</v>
      </c>
      <c r="G334" s="73">
        <f t="shared" si="60"/>
        <v>46349</v>
      </c>
      <c r="H334" s="73">
        <f t="shared" si="61"/>
        <v>46355</v>
      </c>
      <c r="I334" t="str">
        <f t="shared" si="62"/>
        <v>Sunday</v>
      </c>
      <c r="J334" s="74">
        <f t="shared" si="63"/>
        <v>7</v>
      </c>
      <c r="K334" s="74" t="str">
        <f t="shared" si="64"/>
        <v>Nov-2026</v>
      </c>
    </row>
    <row r="335" spans="1:11">
      <c r="A335" s="73">
        <f t="shared" si="65"/>
        <v>46356</v>
      </c>
      <c r="B335" s="74">
        <f t="shared" si="55"/>
        <v>2026</v>
      </c>
      <c r="C335" s="74">
        <f t="shared" si="56"/>
        <v>11</v>
      </c>
      <c r="D335" t="str">
        <f t="shared" si="57"/>
        <v>November</v>
      </c>
      <c r="E335" s="74" t="str">
        <f t="shared" si="58"/>
        <v>Q4</v>
      </c>
      <c r="F335" s="74">
        <f t="shared" si="59"/>
        <v>49</v>
      </c>
      <c r="G335" s="73">
        <f t="shared" si="60"/>
        <v>46356</v>
      </c>
      <c r="H335" s="73">
        <f t="shared" si="61"/>
        <v>46362</v>
      </c>
      <c r="I335" t="str">
        <f t="shared" si="62"/>
        <v>Monday</v>
      </c>
      <c r="J335" s="74">
        <f t="shared" si="63"/>
        <v>1</v>
      </c>
      <c r="K335" s="74" t="str">
        <f t="shared" si="64"/>
        <v>Nov-2026</v>
      </c>
    </row>
    <row r="336" spans="1:11">
      <c r="A336" s="73">
        <f t="shared" si="65"/>
        <v>46357</v>
      </c>
      <c r="B336" s="74">
        <f t="shared" si="55"/>
        <v>2026</v>
      </c>
      <c r="C336" s="74">
        <f t="shared" si="56"/>
        <v>12</v>
      </c>
      <c r="D336" t="str">
        <f t="shared" si="57"/>
        <v>December</v>
      </c>
      <c r="E336" s="74" t="str">
        <f t="shared" si="58"/>
        <v>Q4</v>
      </c>
      <c r="F336" s="74">
        <f t="shared" si="59"/>
        <v>49</v>
      </c>
      <c r="G336" s="73">
        <f t="shared" si="60"/>
        <v>46356</v>
      </c>
      <c r="H336" s="73">
        <f t="shared" si="61"/>
        <v>46362</v>
      </c>
      <c r="I336" t="str">
        <f t="shared" si="62"/>
        <v>Tuesday</v>
      </c>
      <c r="J336" s="74">
        <f t="shared" si="63"/>
        <v>2</v>
      </c>
      <c r="K336" s="74" t="str">
        <f t="shared" si="64"/>
        <v>Dec-2026</v>
      </c>
    </row>
    <row r="337" spans="1:11">
      <c r="A337" s="73">
        <f t="shared" si="65"/>
        <v>46358</v>
      </c>
      <c r="B337" s="74">
        <f t="shared" si="55"/>
        <v>2026</v>
      </c>
      <c r="C337" s="74">
        <f t="shared" si="56"/>
        <v>12</v>
      </c>
      <c r="D337" t="str">
        <f t="shared" si="57"/>
        <v>December</v>
      </c>
      <c r="E337" s="74" t="str">
        <f t="shared" si="58"/>
        <v>Q4</v>
      </c>
      <c r="F337" s="74">
        <f t="shared" si="59"/>
        <v>49</v>
      </c>
      <c r="G337" s="73">
        <f t="shared" si="60"/>
        <v>46356</v>
      </c>
      <c r="H337" s="73">
        <f t="shared" si="61"/>
        <v>46362</v>
      </c>
      <c r="I337" t="str">
        <f t="shared" si="62"/>
        <v>Wednesday</v>
      </c>
      <c r="J337" s="74">
        <f t="shared" si="63"/>
        <v>3</v>
      </c>
      <c r="K337" s="74" t="str">
        <f t="shared" si="64"/>
        <v>Dec-2026</v>
      </c>
    </row>
    <row r="338" spans="1:11">
      <c r="A338" s="73">
        <f t="shared" si="65"/>
        <v>46359</v>
      </c>
      <c r="B338" s="74">
        <f t="shared" si="55"/>
        <v>2026</v>
      </c>
      <c r="C338" s="74">
        <f t="shared" si="56"/>
        <v>12</v>
      </c>
      <c r="D338" t="str">
        <f t="shared" si="57"/>
        <v>December</v>
      </c>
      <c r="E338" s="74" t="str">
        <f t="shared" si="58"/>
        <v>Q4</v>
      </c>
      <c r="F338" s="74">
        <f t="shared" si="59"/>
        <v>49</v>
      </c>
      <c r="G338" s="73">
        <f t="shared" si="60"/>
        <v>46356</v>
      </c>
      <c r="H338" s="73">
        <f t="shared" si="61"/>
        <v>46362</v>
      </c>
      <c r="I338" t="str">
        <f t="shared" si="62"/>
        <v>Thursday</v>
      </c>
      <c r="J338" s="74">
        <f t="shared" si="63"/>
        <v>4</v>
      </c>
      <c r="K338" s="74" t="str">
        <f t="shared" si="64"/>
        <v>Dec-2026</v>
      </c>
    </row>
    <row r="339" spans="1:11">
      <c r="A339" s="73">
        <f t="shared" si="65"/>
        <v>46360</v>
      </c>
      <c r="B339" s="74">
        <f t="shared" si="55"/>
        <v>2026</v>
      </c>
      <c r="C339" s="74">
        <f t="shared" si="56"/>
        <v>12</v>
      </c>
      <c r="D339" t="str">
        <f t="shared" si="57"/>
        <v>December</v>
      </c>
      <c r="E339" s="74" t="str">
        <f t="shared" si="58"/>
        <v>Q4</v>
      </c>
      <c r="F339" s="74">
        <f t="shared" si="59"/>
        <v>49</v>
      </c>
      <c r="G339" s="73">
        <f t="shared" si="60"/>
        <v>46356</v>
      </c>
      <c r="H339" s="73">
        <f t="shared" si="61"/>
        <v>46362</v>
      </c>
      <c r="I339" t="str">
        <f t="shared" si="62"/>
        <v>Friday</v>
      </c>
      <c r="J339" s="74">
        <f t="shared" si="63"/>
        <v>5</v>
      </c>
      <c r="K339" s="74" t="str">
        <f t="shared" si="64"/>
        <v>Dec-2026</v>
      </c>
    </row>
    <row r="340" spans="1:11">
      <c r="A340" s="73">
        <f t="shared" si="65"/>
        <v>46361</v>
      </c>
      <c r="B340" s="74">
        <f t="shared" si="55"/>
        <v>2026</v>
      </c>
      <c r="C340" s="74">
        <f t="shared" si="56"/>
        <v>12</v>
      </c>
      <c r="D340" t="str">
        <f t="shared" si="57"/>
        <v>December</v>
      </c>
      <c r="E340" s="74" t="str">
        <f t="shared" si="58"/>
        <v>Q4</v>
      </c>
      <c r="F340" s="74">
        <f t="shared" si="59"/>
        <v>49</v>
      </c>
      <c r="G340" s="73">
        <f t="shared" si="60"/>
        <v>46356</v>
      </c>
      <c r="H340" s="73">
        <f t="shared" si="61"/>
        <v>46362</v>
      </c>
      <c r="I340" t="str">
        <f t="shared" si="62"/>
        <v>Saturday</v>
      </c>
      <c r="J340" s="74">
        <f t="shared" si="63"/>
        <v>6</v>
      </c>
      <c r="K340" s="74" t="str">
        <f t="shared" si="64"/>
        <v>Dec-2026</v>
      </c>
    </row>
    <row r="341" spans="1:11">
      <c r="A341" s="73">
        <f t="shared" si="65"/>
        <v>46362</v>
      </c>
      <c r="B341" s="74">
        <f t="shared" si="55"/>
        <v>2026</v>
      </c>
      <c r="C341" s="74">
        <f t="shared" si="56"/>
        <v>12</v>
      </c>
      <c r="D341" t="str">
        <f t="shared" si="57"/>
        <v>December</v>
      </c>
      <c r="E341" s="74" t="str">
        <f t="shared" si="58"/>
        <v>Q4</v>
      </c>
      <c r="F341" s="74">
        <f t="shared" si="59"/>
        <v>49</v>
      </c>
      <c r="G341" s="73">
        <f t="shared" si="60"/>
        <v>46356</v>
      </c>
      <c r="H341" s="73">
        <f t="shared" si="61"/>
        <v>46362</v>
      </c>
      <c r="I341" t="str">
        <f t="shared" si="62"/>
        <v>Sunday</v>
      </c>
      <c r="J341" s="74">
        <f t="shared" si="63"/>
        <v>7</v>
      </c>
      <c r="K341" s="74" t="str">
        <f t="shared" si="64"/>
        <v>Dec-2026</v>
      </c>
    </row>
    <row r="342" spans="1:11">
      <c r="A342" s="73">
        <f t="shared" si="65"/>
        <v>46363</v>
      </c>
      <c r="B342" s="74">
        <f t="shared" si="55"/>
        <v>2026</v>
      </c>
      <c r="C342" s="74">
        <f t="shared" si="56"/>
        <v>12</v>
      </c>
      <c r="D342" t="str">
        <f t="shared" si="57"/>
        <v>December</v>
      </c>
      <c r="E342" s="74" t="str">
        <f t="shared" si="58"/>
        <v>Q4</v>
      </c>
      <c r="F342" s="74">
        <f t="shared" si="59"/>
        <v>50</v>
      </c>
      <c r="G342" s="73">
        <f t="shared" si="60"/>
        <v>46363</v>
      </c>
      <c r="H342" s="73">
        <f t="shared" si="61"/>
        <v>46369</v>
      </c>
      <c r="I342" t="str">
        <f t="shared" si="62"/>
        <v>Monday</v>
      </c>
      <c r="J342" s="74">
        <f t="shared" si="63"/>
        <v>1</v>
      </c>
      <c r="K342" s="74" t="str">
        <f t="shared" si="64"/>
        <v>Dec-2026</v>
      </c>
    </row>
    <row r="343" spans="1:11">
      <c r="A343" s="73">
        <f t="shared" si="65"/>
        <v>46364</v>
      </c>
      <c r="B343" s="74">
        <f t="shared" si="55"/>
        <v>2026</v>
      </c>
      <c r="C343" s="74">
        <f t="shared" si="56"/>
        <v>12</v>
      </c>
      <c r="D343" t="str">
        <f t="shared" si="57"/>
        <v>December</v>
      </c>
      <c r="E343" s="74" t="str">
        <f t="shared" si="58"/>
        <v>Q4</v>
      </c>
      <c r="F343" s="74">
        <f t="shared" si="59"/>
        <v>50</v>
      </c>
      <c r="G343" s="73">
        <f t="shared" si="60"/>
        <v>46363</v>
      </c>
      <c r="H343" s="73">
        <f t="shared" si="61"/>
        <v>46369</v>
      </c>
      <c r="I343" t="str">
        <f t="shared" si="62"/>
        <v>Tuesday</v>
      </c>
      <c r="J343" s="74">
        <f t="shared" si="63"/>
        <v>2</v>
      </c>
      <c r="K343" s="74" t="str">
        <f t="shared" si="64"/>
        <v>Dec-2026</v>
      </c>
    </row>
    <row r="344" spans="1:11">
      <c r="A344" s="73">
        <f t="shared" si="65"/>
        <v>46365</v>
      </c>
      <c r="B344" s="74">
        <f t="shared" si="55"/>
        <v>2026</v>
      </c>
      <c r="C344" s="74">
        <f t="shared" si="56"/>
        <v>12</v>
      </c>
      <c r="D344" t="str">
        <f t="shared" si="57"/>
        <v>December</v>
      </c>
      <c r="E344" s="74" t="str">
        <f t="shared" si="58"/>
        <v>Q4</v>
      </c>
      <c r="F344" s="74">
        <f t="shared" si="59"/>
        <v>50</v>
      </c>
      <c r="G344" s="73">
        <f t="shared" si="60"/>
        <v>46363</v>
      </c>
      <c r="H344" s="73">
        <f t="shared" si="61"/>
        <v>46369</v>
      </c>
      <c r="I344" t="str">
        <f t="shared" si="62"/>
        <v>Wednesday</v>
      </c>
      <c r="J344" s="74">
        <f t="shared" si="63"/>
        <v>3</v>
      </c>
      <c r="K344" s="74" t="str">
        <f t="shared" si="64"/>
        <v>Dec-2026</v>
      </c>
    </row>
    <row r="345" spans="1:11">
      <c r="A345" s="73">
        <f t="shared" si="65"/>
        <v>46366</v>
      </c>
      <c r="B345" s="74">
        <f t="shared" si="55"/>
        <v>2026</v>
      </c>
      <c r="C345" s="74">
        <f t="shared" si="56"/>
        <v>12</v>
      </c>
      <c r="D345" t="str">
        <f t="shared" si="57"/>
        <v>December</v>
      </c>
      <c r="E345" s="74" t="str">
        <f t="shared" si="58"/>
        <v>Q4</v>
      </c>
      <c r="F345" s="74">
        <f t="shared" si="59"/>
        <v>50</v>
      </c>
      <c r="G345" s="73">
        <f t="shared" si="60"/>
        <v>46363</v>
      </c>
      <c r="H345" s="73">
        <f t="shared" si="61"/>
        <v>46369</v>
      </c>
      <c r="I345" t="str">
        <f t="shared" si="62"/>
        <v>Thursday</v>
      </c>
      <c r="J345" s="74">
        <f t="shared" si="63"/>
        <v>4</v>
      </c>
      <c r="K345" s="74" t="str">
        <f t="shared" si="64"/>
        <v>Dec-2026</v>
      </c>
    </row>
    <row r="346" spans="1:11">
      <c r="A346" s="73">
        <f t="shared" si="65"/>
        <v>46367</v>
      </c>
      <c r="B346" s="74">
        <f t="shared" si="55"/>
        <v>2026</v>
      </c>
      <c r="C346" s="74">
        <f t="shared" si="56"/>
        <v>12</v>
      </c>
      <c r="D346" t="str">
        <f t="shared" si="57"/>
        <v>December</v>
      </c>
      <c r="E346" s="74" t="str">
        <f t="shared" si="58"/>
        <v>Q4</v>
      </c>
      <c r="F346" s="74">
        <f t="shared" si="59"/>
        <v>50</v>
      </c>
      <c r="G346" s="73">
        <f t="shared" si="60"/>
        <v>46363</v>
      </c>
      <c r="H346" s="73">
        <f t="shared" si="61"/>
        <v>46369</v>
      </c>
      <c r="I346" t="str">
        <f t="shared" si="62"/>
        <v>Friday</v>
      </c>
      <c r="J346" s="74">
        <f t="shared" si="63"/>
        <v>5</v>
      </c>
      <c r="K346" s="74" t="str">
        <f t="shared" si="64"/>
        <v>Dec-2026</v>
      </c>
    </row>
    <row r="347" spans="1:11">
      <c r="A347" s="73">
        <f t="shared" si="65"/>
        <v>46368</v>
      </c>
      <c r="B347" s="74">
        <f t="shared" si="55"/>
        <v>2026</v>
      </c>
      <c r="C347" s="74">
        <f t="shared" si="56"/>
        <v>12</v>
      </c>
      <c r="D347" t="str">
        <f t="shared" si="57"/>
        <v>December</v>
      </c>
      <c r="E347" s="74" t="str">
        <f t="shared" si="58"/>
        <v>Q4</v>
      </c>
      <c r="F347" s="74">
        <f t="shared" si="59"/>
        <v>50</v>
      </c>
      <c r="G347" s="73">
        <f t="shared" si="60"/>
        <v>46363</v>
      </c>
      <c r="H347" s="73">
        <f t="shared" si="61"/>
        <v>46369</v>
      </c>
      <c r="I347" t="str">
        <f t="shared" si="62"/>
        <v>Saturday</v>
      </c>
      <c r="J347" s="74">
        <f t="shared" si="63"/>
        <v>6</v>
      </c>
      <c r="K347" s="74" t="str">
        <f t="shared" si="64"/>
        <v>Dec-2026</v>
      </c>
    </row>
    <row r="348" spans="1:11">
      <c r="A348" s="73">
        <f t="shared" si="65"/>
        <v>46369</v>
      </c>
      <c r="B348" s="74">
        <f t="shared" si="55"/>
        <v>2026</v>
      </c>
      <c r="C348" s="74">
        <f t="shared" si="56"/>
        <v>12</v>
      </c>
      <c r="D348" t="str">
        <f t="shared" si="57"/>
        <v>December</v>
      </c>
      <c r="E348" s="74" t="str">
        <f t="shared" si="58"/>
        <v>Q4</v>
      </c>
      <c r="F348" s="74">
        <f t="shared" si="59"/>
        <v>50</v>
      </c>
      <c r="G348" s="73">
        <f t="shared" si="60"/>
        <v>46363</v>
      </c>
      <c r="H348" s="73">
        <f t="shared" si="61"/>
        <v>46369</v>
      </c>
      <c r="I348" t="str">
        <f t="shared" si="62"/>
        <v>Sunday</v>
      </c>
      <c r="J348" s="74">
        <f t="shared" si="63"/>
        <v>7</v>
      </c>
      <c r="K348" s="74" t="str">
        <f t="shared" si="64"/>
        <v>Dec-2026</v>
      </c>
    </row>
    <row r="349" spans="1:11">
      <c r="A349" s="73">
        <f t="shared" si="65"/>
        <v>46370</v>
      </c>
      <c r="B349" s="74">
        <f t="shared" si="55"/>
        <v>2026</v>
      </c>
      <c r="C349" s="74">
        <f t="shared" si="56"/>
        <v>12</v>
      </c>
      <c r="D349" t="str">
        <f t="shared" si="57"/>
        <v>December</v>
      </c>
      <c r="E349" s="74" t="str">
        <f t="shared" si="58"/>
        <v>Q4</v>
      </c>
      <c r="F349" s="74">
        <f t="shared" si="59"/>
        <v>51</v>
      </c>
      <c r="G349" s="73">
        <f t="shared" si="60"/>
        <v>46370</v>
      </c>
      <c r="H349" s="73">
        <f t="shared" si="61"/>
        <v>46376</v>
      </c>
      <c r="I349" t="str">
        <f t="shared" si="62"/>
        <v>Monday</v>
      </c>
      <c r="J349" s="74">
        <f t="shared" si="63"/>
        <v>1</v>
      </c>
      <c r="K349" s="74" t="str">
        <f t="shared" si="64"/>
        <v>Dec-2026</v>
      </c>
    </row>
    <row r="350" spans="1:11">
      <c r="A350" s="73">
        <f t="shared" si="65"/>
        <v>46371</v>
      </c>
      <c r="B350" s="74">
        <f t="shared" si="55"/>
        <v>2026</v>
      </c>
      <c r="C350" s="74">
        <f t="shared" si="56"/>
        <v>12</v>
      </c>
      <c r="D350" t="str">
        <f t="shared" si="57"/>
        <v>December</v>
      </c>
      <c r="E350" s="74" t="str">
        <f t="shared" si="58"/>
        <v>Q4</v>
      </c>
      <c r="F350" s="74">
        <f t="shared" si="59"/>
        <v>51</v>
      </c>
      <c r="G350" s="73">
        <f t="shared" si="60"/>
        <v>46370</v>
      </c>
      <c r="H350" s="73">
        <f t="shared" si="61"/>
        <v>46376</v>
      </c>
      <c r="I350" t="str">
        <f t="shared" si="62"/>
        <v>Tuesday</v>
      </c>
      <c r="J350" s="74">
        <f t="shared" si="63"/>
        <v>2</v>
      </c>
      <c r="K350" s="74" t="str">
        <f t="shared" si="64"/>
        <v>Dec-2026</v>
      </c>
    </row>
    <row r="351" spans="1:11">
      <c r="A351" s="73">
        <f t="shared" si="65"/>
        <v>46372</v>
      </c>
      <c r="B351" s="74">
        <f t="shared" si="55"/>
        <v>2026</v>
      </c>
      <c r="C351" s="74">
        <f t="shared" si="56"/>
        <v>12</v>
      </c>
      <c r="D351" t="str">
        <f t="shared" si="57"/>
        <v>December</v>
      </c>
      <c r="E351" s="74" t="str">
        <f t="shared" si="58"/>
        <v>Q4</v>
      </c>
      <c r="F351" s="74">
        <f t="shared" si="59"/>
        <v>51</v>
      </c>
      <c r="G351" s="73">
        <f t="shared" si="60"/>
        <v>46370</v>
      </c>
      <c r="H351" s="73">
        <f t="shared" si="61"/>
        <v>46376</v>
      </c>
      <c r="I351" t="str">
        <f t="shared" si="62"/>
        <v>Wednesday</v>
      </c>
      <c r="J351" s="74">
        <f t="shared" si="63"/>
        <v>3</v>
      </c>
      <c r="K351" s="74" t="str">
        <f t="shared" si="64"/>
        <v>Dec-2026</v>
      </c>
    </row>
    <row r="352" spans="1:11">
      <c r="A352" s="73">
        <f t="shared" si="65"/>
        <v>46373</v>
      </c>
      <c r="B352" s="74">
        <f t="shared" si="55"/>
        <v>2026</v>
      </c>
      <c r="C352" s="74">
        <f t="shared" si="56"/>
        <v>12</v>
      </c>
      <c r="D352" t="str">
        <f t="shared" si="57"/>
        <v>December</v>
      </c>
      <c r="E352" s="74" t="str">
        <f t="shared" si="58"/>
        <v>Q4</v>
      </c>
      <c r="F352" s="74">
        <f t="shared" si="59"/>
        <v>51</v>
      </c>
      <c r="G352" s="73">
        <f t="shared" si="60"/>
        <v>46370</v>
      </c>
      <c r="H352" s="73">
        <f t="shared" si="61"/>
        <v>46376</v>
      </c>
      <c r="I352" t="str">
        <f t="shared" si="62"/>
        <v>Thursday</v>
      </c>
      <c r="J352" s="74">
        <f t="shared" si="63"/>
        <v>4</v>
      </c>
      <c r="K352" s="74" t="str">
        <f t="shared" si="64"/>
        <v>Dec-2026</v>
      </c>
    </row>
    <row r="353" spans="1:11">
      <c r="A353" s="73">
        <f t="shared" si="65"/>
        <v>46374</v>
      </c>
      <c r="B353" s="74">
        <f t="shared" si="55"/>
        <v>2026</v>
      </c>
      <c r="C353" s="74">
        <f t="shared" si="56"/>
        <v>12</v>
      </c>
      <c r="D353" t="str">
        <f t="shared" si="57"/>
        <v>December</v>
      </c>
      <c r="E353" s="74" t="str">
        <f t="shared" si="58"/>
        <v>Q4</v>
      </c>
      <c r="F353" s="74">
        <f t="shared" si="59"/>
        <v>51</v>
      </c>
      <c r="G353" s="73">
        <f t="shared" si="60"/>
        <v>46370</v>
      </c>
      <c r="H353" s="73">
        <f t="shared" si="61"/>
        <v>46376</v>
      </c>
      <c r="I353" t="str">
        <f t="shared" si="62"/>
        <v>Friday</v>
      </c>
      <c r="J353" s="74">
        <f t="shared" si="63"/>
        <v>5</v>
      </c>
      <c r="K353" s="74" t="str">
        <f t="shared" si="64"/>
        <v>Dec-2026</v>
      </c>
    </row>
    <row r="354" spans="1:11">
      <c r="A354" s="73">
        <f t="shared" si="65"/>
        <v>46375</v>
      </c>
      <c r="B354" s="74">
        <f t="shared" si="55"/>
        <v>2026</v>
      </c>
      <c r="C354" s="74">
        <f t="shared" si="56"/>
        <v>12</v>
      </c>
      <c r="D354" t="str">
        <f t="shared" si="57"/>
        <v>December</v>
      </c>
      <c r="E354" s="74" t="str">
        <f t="shared" si="58"/>
        <v>Q4</v>
      </c>
      <c r="F354" s="74">
        <f t="shared" si="59"/>
        <v>51</v>
      </c>
      <c r="G354" s="73">
        <f t="shared" si="60"/>
        <v>46370</v>
      </c>
      <c r="H354" s="73">
        <f t="shared" si="61"/>
        <v>46376</v>
      </c>
      <c r="I354" t="str">
        <f t="shared" si="62"/>
        <v>Saturday</v>
      </c>
      <c r="J354" s="74">
        <f t="shared" si="63"/>
        <v>6</v>
      </c>
      <c r="K354" s="74" t="str">
        <f t="shared" si="64"/>
        <v>Dec-2026</v>
      </c>
    </row>
    <row r="355" spans="1:11">
      <c r="A355" s="73">
        <f t="shared" si="65"/>
        <v>46376</v>
      </c>
      <c r="B355" s="74">
        <f t="shared" si="55"/>
        <v>2026</v>
      </c>
      <c r="C355" s="74">
        <f t="shared" si="56"/>
        <v>12</v>
      </c>
      <c r="D355" t="str">
        <f t="shared" si="57"/>
        <v>December</v>
      </c>
      <c r="E355" s="74" t="str">
        <f t="shared" si="58"/>
        <v>Q4</v>
      </c>
      <c r="F355" s="74">
        <f t="shared" si="59"/>
        <v>51</v>
      </c>
      <c r="G355" s="73">
        <f t="shared" si="60"/>
        <v>46370</v>
      </c>
      <c r="H355" s="73">
        <f t="shared" si="61"/>
        <v>46376</v>
      </c>
      <c r="I355" t="str">
        <f t="shared" si="62"/>
        <v>Sunday</v>
      </c>
      <c r="J355" s="74">
        <f t="shared" si="63"/>
        <v>7</v>
      </c>
      <c r="K355" s="74" t="str">
        <f t="shared" si="64"/>
        <v>Dec-2026</v>
      </c>
    </row>
    <row r="356" spans="1:11">
      <c r="A356" s="73">
        <f t="shared" si="65"/>
        <v>46377</v>
      </c>
      <c r="B356" s="74">
        <f t="shared" si="55"/>
        <v>2026</v>
      </c>
      <c r="C356" s="74">
        <f t="shared" si="56"/>
        <v>12</v>
      </c>
      <c r="D356" t="str">
        <f t="shared" si="57"/>
        <v>December</v>
      </c>
      <c r="E356" s="74" t="str">
        <f t="shared" si="58"/>
        <v>Q4</v>
      </c>
      <c r="F356" s="74">
        <f t="shared" si="59"/>
        <v>52</v>
      </c>
      <c r="G356" s="73">
        <f t="shared" si="60"/>
        <v>46377</v>
      </c>
      <c r="H356" s="73">
        <f t="shared" si="61"/>
        <v>46383</v>
      </c>
      <c r="I356" t="str">
        <f t="shared" si="62"/>
        <v>Monday</v>
      </c>
      <c r="J356" s="74">
        <f t="shared" si="63"/>
        <v>1</v>
      </c>
      <c r="K356" s="74" t="str">
        <f t="shared" si="64"/>
        <v>Dec-2026</v>
      </c>
    </row>
    <row r="357" spans="1:11">
      <c r="A357" s="73">
        <f t="shared" si="65"/>
        <v>46378</v>
      </c>
      <c r="B357" s="74">
        <f t="shared" si="55"/>
        <v>2026</v>
      </c>
      <c r="C357" s="74">
        <f t="shared" si="56"/>
        <v>12</v>
      </c>
      <c r="D357" t="str">
        <f t="shared" si="57"/>
        <v>December</v>
      </c>
      <c r="E357" s="74" t="str">
        <f t="shared" si="58"/>
        <v>Q4</v>
      </c>
      <c r="F357" s="74">
        <f t="shared" si="59"/>
        <v>52</v>
      </c>
      <c r="G357" s="73">
        <f t="shared" si="60"/>
        <v>46377</v>
      </c>
      <c r="H357" s="73">
        <f t="shared" si="61"/>
        <v>46383</v>
      </c>
      <c r="I357" t="str">
        <f t="shared" si="62"/>
        <v>Tuesday</v>
      </c>
      <c r="J357" s="74">
        <f t="shared" si="63"/>
        <v>2</v>
      </c>
      <c r="K357" s="74" t="str">
        <f t="shared" si="64"/>
        <v>Dec-2026</v>
      </c>
    </row>
    <row r="358" spans="1:11">
      <c r="A358" s="73">
        <f t="shared" si="65"/>
        <v>46379</v>
      </c>
      <c r="B358" s="74">
        <f t="shared" si="55"/>
        <v>2026</v>
      </c>
      <c r="C358" s="74">
        <f t="shared" si="56"/>
        <v>12</v>
      </c>
      <c r="D358" t="str">
        <f t="shared" si="57"/>
        <v>December</v>
      </c>
      <c r="E358" s="74" t="str">
        <f t="shared" si="58"/>
        <v>Q4</v>
      </c>
      <c r="F358" s="74">
        <f t="shared" si="59"/>
        <v>52</v>
      </c>
      <c r="G358" s="73">
        <f t="shared" si="60"/>
        <v>46377</v>
      </c>
      <c r="H358" s="73">
        <f t="shared" si="61"/>
        <v>46383</v>
      </c>
      <c r="I358" t="str">
        <f t="shared" si="62"/>
        <v>Wednesday</v>
      </c>
      <c r="J358" s="74">
        <f t="shared" si="63"/>
        <v>3</v>
      </c>
      <c r="K358" s="74" t="str">
        <f t="shared" si="64"/>
        <v>Dec-2026</v>
      </c>
    </row>
    <row r="359" spans="1:11">
      <c r="A359" s="73">
        <f t="shared" si="65"/>
        <v>46380</v>
      </c>
      <c r="B359" s="74">
        <f t="shared" si="55"/>
        <v>2026</v>
      </c>
      <c r="C359" s="74">
        <f t="shared" si="56"/>
        <v>12</v>
      </c>
      <c r="D359" t="str">
        <f t="shared" si="57"/>
        <v>December</v>
      </c>
      <c r="E359" s="74" t="str">
        <f t="shared" si="58"/>
        <v>Q4</v>
      </c>
      <c r="F359" s="74">
        <f t="shared" si="59"/>
        <v>52</v>
      </c>
      <c r="G359" s="73">
        <f t="shared" si="60"/>
        <v>46377</v>
      </c>
      <c r="H359" s="73">
        <f t="shared" si="61"/>
        <v>46383</v>
      </c>
      <c r="I359" t="str">
        <f t="shared" si="62"/>
        <v>Thursday</v>
      </c>
      <c r="J359" s="74">
        <f t="shared" si="63"/>
        <v>4</v>
      </c>
      <c r="K359" s="74" t="str">
        <f t="shared" si="64"/>
        <v>Dec-2026</v>
      </c>
    </row>
    <row r="360" spans="1:11">
      <c r="A360" s="73">
        <f t="shared" si="65"/>
        <v>46381</v>
      </c>
      <c r="B360" s="74">
        <f t="shared" si="55"/>
        <v>2026</v>
      </c>
      <c r="C360" s="74">
        <f t="shared" si="56"/>
        <v>12</v>
      </c>
      <c r="D360" t="str">
        <f t="shared" si="57"/>
        <v>December</v>
      </c>
      <c r="E360" s="74" t="str">
        <f t="shared" si="58"/>
        <v>Q4</v>
      </c>
      <c r="F360" s="74">
        <f t="shared" si="59"/>
        <v>52</v>
      </c>
      <c r="G360" s="73">
        <f t="shared" si="60"/>
        <v>46377</v>
      </c>
      <c r="H360" s="73">
        <f t="shared" si="61"/>
        <v>46383</v>
      </c>
      <c r="I360" t="str">
        <f t="shared" si="62"/>
        <v>Friday</v>
      </c>
      <c r="J360" s="74">
        <f t="shared" si="63"/>
        <v>5</v>
      </c>
      <c r="K360" s="74" t="str">
        <f t="shared" si="64"/>
        <v>Dec-2026</v>
      </c>
    </row>
    <row r="361" spans="1:11">
      <c r="A361" s="73">
        <f t="shared" si="65"/>
        <v>46382</v>
      </c>
      <c r="B361" s="74">
        <f t="shared" si="55"/>
        <v>2026</v>
      </c>
      <c r="C361" s="74">
        <f t="shared" si="56"/>
        <v>12</v>
      </c>
      <c r="D361" t="str">
        <f t="shared" si="57"/>
        <v>December</v>
      </c>
      <c r="E361" s="74" t="str">
        <f t="shared" si="58"/>
        <v>Q4</v>
      </c>
      <c r="F361" s="74">
        <f t="shared" si="59"/>
        <v>52</v>
      </c>
      <c r="G361" s="73">
        <f t="shared" si="60"/>
        <v>46377</v>
      </c>
      <c r="H361" s="73">
        <f t="shared" si="61"/>
        <v>46383</v>
      </c>
      <c r="I361" t="str">
        <f t="shared" si="62"/>
        <v>Saturday</v>
      </c>
      <c r="J361" s="74">
        <f t="shared" si="63"/>
        <v>6</v>
      </c>
      <c r="K361" s="74" t="str">
        <f t="shared" si="64"/>
        <v>Dec-2026</v>
      </c>
    </row>
    <row r="362" spans="1:11">
      <c r="A362" s="73">
        <f t="shared" si="65"/>
        <v>46383</v>
      </c>
      <c r="B362" s="74">
        <f t="shared" si="55"/>
        <v>2026</v>
      </c>
      <c r="C362" s="74">
        <f t="shared" si="56"/>
        <v>12</v>
      </c>
      <c r="D362" t="str">
        <f t="shared" si="57"/>
        <v>December</v>
      </c>
      <c r="E362" s="74" t="str">
        <f t="shared" si="58"/>
        <v>Q4</v>
      </c>
      <c r="F362" s="74">
        <f t="shared" si="59"/>
        <v>52</v>
      </c>
      <c r="G362" s="73">
        <f t="shared" si="60"/>
        <v>46377</v>
      </c>
      <c r="H362" s="73">
        <f t="shared" si="61"/>
        <v>46383</v>
      </c>
      <c r="I362" t="str">
        <f t="shared" si="62"/>
        <v>Sunday</v>
      </c>
      <c r="J362" s="74">
        <f t="shared" si="63"/>
        <v>7</v>
      </c>
      <c r="K362" s="74" t="str">
        <f t="shared" si="64"/>
        <v>Dec-2026</v>
      </c>
    </row>
    <row r="363" spans="1:11">
      <c r="A363" s="73">
        <f t="shared" si="65"/>
        <v>46384</v>
      </c>
      <c r="B363" s="74">
        <f t="shared" si="55"/>
        <v>2026</v>
      </c>
      <c r="C363" s="74">
        <f t="shared" si="56"/>
        <v>12</v>
      </c>
      <c r="D363" t="str">
        <f t="shared" si="57"/>
        <v>December</v>
      </c>
      <c r="E363" s="74" t="str">
        <f t="shared" si="58"/>
        <v>Q4</v>
      </c>
      <c r="F363" s="74">
        <f t="shared" si="59"/>
        <v>53</v>
      </c>
      <c r="G363" s="73">
        <f t="shared" si="60"/>
        <v>46384</v>
      </c>
      <c r="H363" s="73">
        <f t="shared" si="61"/>
        <v>46390</v>
      </c>
      <c r="I363" t="str">
        <f t="shared" si="62"/>
        <v>Monday</v>
      </c>
      <c r="J363" s="74">
        <f t="shared" si="63"/>
        <v>1</v>
      </c>
      <c r="K363" s="74" t="str">
        <f t="shared" si="64"/>
        <v>Dec-2026</v>
      </c>
    </row>
    <row r="364" spans="1:11">
      <c r="A364" s="73">
        <f t="shared" si="65"/>
        <v>46385</v>
      </c>
      <c r="B364" s="74">
        <f t="shared" si="55"/>
        <v>2026</v>
      </c>
      <c r="C364" s="74">
        <f t="shared" si="56"/>
        <v>12</v>
      </c>
      <c r="D364" t="str">
        <f t="shared" si="57"/>
        <v>December</v>
      </c>
      <c r="E364" s="74" t="str">
        <f t="shared" si="58"/>
        <v>Q4</v>
      </c>
      <c r="F364" s="74">
        <f t="shared" si="59"/>
        <v>53</v>
      </c>
      <c r="G364" s="73">
        <f t="shared" si="60"/>
        <v>46384</v>
      </c>
      <c r="H364" s="73">
        <f t="shared" si="61"/>
        <v>46390</v>
      </c>
      <c r="I364" t="str">
        <f t="shared" si="62"/>
        <v>Tuesday</v>
      </c>
      <c r="J364" s="74">
        <f t="shared" si="63"/>
        <v>2</v>
      </c>
      <c r="K364" s="74" t="str">
        <f t="shared" si="64"/>
        <v>Dec-2026</v>
      </c>
    </row>
    <row r="365" spans="1:11">
      <c r="A365" s="73">
        <f t="shared" si="65"/>
        <v>46386</v>
      </c>
      <c r="B365" s="74">
        <f t="shared" si="55"/>
        <v>2026</v>
      </c>
      <c r="C365" s="74">
        <f t="shared" si="56"/>
        <v>12</v>
      </c>
      <c r="D365" t="str">
        <f t="shared" si="57"/>
        <v>December</v>
      </c>
      <c r="E365" s="74" t="str">
        <f t="shared" si="58"/>
        <v>Q4</v>
      </c>
      <c r="F365" s="74">
        <f t="shared" si="59"/>
        <v>53</v>
      </c>
      <c r="G365" s="73">
        <f t="shared" si="60"/>
        <v>46384</v>
      </c>
      <c r="H365" s="73">
        <f t="shared" si="61"/>
        <v>46390</v>
      </c>
      <c r="I365" t="str">
        <f t="shared" si="62"/>
        <v>Wednesday</v>
      </c>
      <c r="J365" s="74">
        <f t="shared" si="63"/>
        <v>3</v>
      </c>
      <c r="K365" s="74" t="str">
        <f t="shared" si="64"/>
        <v>Dec-2026</v>
      </c>
    </row>
    <row r="366" spans="1:11">
      <c r="A366" s="73">
        <f t="shared" si="65"/>
        <v>46387</v>
      </c>
      <c r="B366" s="74">
        <f t="shared" si="55"/>
        <v>2026</v>
      </c>
      <c r="C366" s="74">
        <f t="shared" si="56"/>
        <v>12</v>
      </c>
      <c r="D366" t="str">
        <f t="shared" si="57"/>
        <v>December</v>
      </c>
      <c r="E366" s="74" t="str">
        <f t="shared" si="58"/>
        <v>Q4</v>
      </c>
      <c r="F366" s="74">
        <f t="shared" si="59"/>
        <v>53</v>
      </c>
      <c r="G366" s="73">
        <f t="shared" si="60"/>
        <v>46384</v>
      </c>
      <c r="H366" s="73">
        <f t="shared" si="61"/>
        <v>46390</v>
      </c>
      <c r="I366" t="str">
        <f t="shared" si="62"/>
        <v>Thursday</v>
      </c>
      <c r="J366" s="74">
        <f t="shared" si="63"/>
        <v>4</v>
      </c>
      <c r="K366" s="74" t="str">
        <f t="shared" si="64"/>
        <v>Dec-2026</v>
      </c>
    </row>
    <row r="367" spans="1:11">
      <c r="A367" s="6"/>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5634-714A-4849-833E-B781B396E42D}">
  <dimension ref="A1:G146"/>
  <sheetViews>
    <sheetView workbookViewId="0">
      <selection activeCell="F1" sqref="F1"/>
    </sheetView>
  </sheetViews>
  <sheetFormatPr defaultRowHeight="15"/>
  <cols>
    <col min="1" max="1" width="15.5703125" bestFit="1" customWidth="1"/>
    <col min="2" max="2" width="14.5703125" bestFit="1" customWidth="1"/>
    <col min="3" max="3" width="18.7109375" bestFit="1" customWidth="1"/>
    <col min="4" max="4" width="11.85546875" bestFit="1" customWidth="1"/>
    <col min="5" max="5" width="11.28515625" bestFit="1" customWidth="1"/>
    <col min="6" max="6" width="18.85546875" bestFit="1" customWidth="1"/>
  </cols>
  <sheetData>
    <row r="1" spans="1:7">
      <c r="A1" s="70" t="s">
        <v>207</v>
      </c>
      <c r="B1" s="70" t="s">
        <v>197</v>
      </c>
      <c r="C1" s="70" t="s">
        <v>18</v>
      </c>
      <c r="D1" s="70" t="s">
        <v>16</v>
      </c>
      <c r="E1" s="70" t="s">
        <v>0</v>
      </c>
      <c r="F1" s="70" t="s">
        <v>206</v>
      </c>
      <c r="G1" s="2"/>
    </row>
    <row r="2" spans="1:7">
      <c r="A2" s="75">
        <v>46023</v>
      </c>
      <c r="B2" s="70">
        <v>1</v>
      </c>
      <c r="C2" s="70" t="s">
        <v>22</v>
      </c>
      <c r="D2" s="70" t="s">
        <v>20</v>
      </c>
      <c r="E2" s="70" t="s">
        <v>4</v>
      </c>
      <c r="F2" s="79">
        <v>2500000</v>
      </c>
      <c r="G2" s="2"/>
    </row>
    <row r="3" spans="1:7">
      <c r="A3" s="75">
        <v>46023</v>
      </c>
      <c r="B3" s="70">
        <v>1</v>
      </c>
      <c r="C3" s="70" t="s">
        <v>24</v>
      </c>
      <c r="D3" s="70" t="s">
        <v>20</v>
      </c>
      <c r="E3" s="70" t="s">
        <v>4</v>
      </c>
      <c r="F3" s="79">
        <v>2300000</v>
      </c>
      <c r="G3" s="2"/>
    </row>
    <row r="4" spans="1:7">
      <c r="A4" s="75">
        <v>46023</v>
      </c>
      <c r="B4" s="70">
        <v>1</v>
      </c>
      <c r="C4" s="70" t="s">
        <v>26</v>
      </c>
      <c r="D4" s="70" t="s">
        <v>20</v>
      </c>
      <c r="E4" s="70" t="s">
        <v>4</v>
      </c>
      <c r="F4" s="79">
        <v>2200000</v>
      </c>
      <c r="G4" s="2"/>
    </row>
    <row r="5" spans="1:7">
      <c r="A5" s="75">
        <v>46023</v>
      </c>
      <c r="B5" s="70">
        <v>1</v>
      </c>
      <c r="C5" s="70" t="s">
        <v>30</v>
      </c>
      <c r="D5" s="70" t="s">
        <v>28</v>
      </c>
      <c r="E5" s="70" t="s">
        <v>8</v>
      </c>
      <c r="F5" s="79">
        <v>2700000</v>
      </c>
      <c r="G5" s="2"/>
    </row>
    <row r="6" spans="1:7">
      <c r="A6" s="77">
        <v>46023</v>
      </c>
      <c r="B6" s="74">
        <v>1</v>
      </c>
      <c r="C6" s="74" t="s">
        <v>32</v>
      </c>
      <c r="D6" s="74" t="s">
        <v>28</v>
      </c>
      <c r="E6" s="74" t="s">
        <v>8</v>
      </c>
      <c r="F6" s="80">
        <v>2500000</v>
      </c>
    </row>
    <row r="7" spans="1:7">
      <c r="A7" s="77">
        <v>46023</v>
      </c>
      <c r="B7" s="74">
        <v>1</v>
      </c>
      <c r="C7" s="74" t="s">
        <v>34</v>
      </c>
      <c r="D7" s="74" t="s">
        <v>28</v>
      </c>
      <c r="E7" s="74" t="s">
        <v>8</v>
      </c>
      <c r="F7" s="80">
        <v>2300000</v>
      </c>
    </row>
    <row r="8" spans="1:7">
      <c r="A8" s="77">
        <v>46023</v>
      </c>
      <c r="B8" s="74">
        <v>1</v>
      </c>
      <c r="C8" s="74" t="s">
        <v>38</v>
      </c>
      <c r="D8" s="74" t="s">
        <v>36</v>
      </c>
      <c r="E8" s="74" t="s">
        <v>11</v>
      </c>
      <c r="F8" s="80">
        <v>2400000</v>
      </c>
    </row>
    <row r="9" spans="1:7">
      <c r="A9" s="77">
        <v>46023</v>
      </c>
      <c r="B9" s="74">
        <v>1</v>
      </c>
      <c r="C9" s="74" t="s">
        <v>40</v>
      </c>
      <c r="D9" s="74" t="s">
        <v>36</v>
      </c>
      <c r="E9" s="74" t="s">
        <v>11</v>
      </c>
      <c r="F9" s="80">
        <v>2200000</v>
      </c>
    </row>
    <row r="10" spans="1:7">
      <c r="A10" s="77">
        <v>46023</v>
      </c>
      <c r="B10" s="74">
        <v>1</v>
      </c>
      <c r="C10" s="74" t="s">
        <v>42</v>
      </c>
      <c r="D10" s="74" t="s">
        <v>36</v>
      </c>
      <c r="E10" s="74" t="s">
        <v>11</v>
      </c>
      <c r="F10" s="80">
        <v>2100000</v>
      </c>
    </row>
    <row r="11" spans="1:7">
      <c r="A11" s="77">
        <v>46023</v>
      </c>
      <c r="B11" s="74">
        <v>1</v>
      </c>
      <c r="C11" s="74" t="s">
        <v>46</v>
      </c>
      <c r="D11" s="74" t="s">
        <v>44</v>
      </c>
      <c r="E11" s="74" t="s">
        <v>14</v>
      </c>
      <c r="F11" s="80">
        <v>2200000</v>
      </c>
    </row>
    <row r="12" spans="1:7">
      <c r="A12" s="77">
        <v>46023</v>
      </c>
      <c r="B12" s="74">
        <v>1</v>
      </c>
      <c r="C12" s="74" t="s">
        <v>48</v>
      </c>
      <c r="D12" s="74" t="s">
        <v>44</v>
      </c>
      <c r="E12" s="74" t="s">
        <v>14</v>
      </c>
      <c r="F12" s="80">
        <v>2000000</v>
      </c>
    </row>
    <row r="13" spans="1:7">
      <c r="A13" s="77">
        <v>46023</v>
      </c>
      <c r="B13" s="74">
        <v>1</v>
      </c>
      <c r="C13" s="74" t="s">
        <v>50</v>
      </c>
      <c r="D13" s="74" t="s">
        <v>44</v>
      </c>
      <c r="E13" s="74" t="s">
        <v>14</v>
      </c>
      <c r="F13" s="80">
        <v>1900000</v>
      </c>
    </row>
    <row r="14" spans="1:7">
      <c r="A14" s="77">
        <v>46054</v>
      </c>
      <c r="B14" s="74">
        <v>2</v>
      </c>
      <c r="C14" s="74" t="s">
        <v>22</v>
      </c>
      <c r="D14" s="74" t="s">
        <v>20</v>
      </c>
      <c r="E14" s="74" t="s">
        <v>4</v>
      </c>
      <c r="F14" s="80">
        <v>2575000</v>
      </c>
    </row>
    <row r="15" spans="1:7">
      <c r="A15" s="77">
        <v>46054</v>
      </c>
      <c r="B15" s="74">
        <v>2</v>
      </c>
      <c r="C15" s="74" t="s">
        <v>24</v>
      </c>
      <c r="D15" s="74" t="s">
        <v>20</v>
      </c>
      <c r="E15" s="74" t="s">
        <v>4</v>
      </c>
      <c r="F15" s="80">
        <v>2369000</v>
      </c>
    </row>
    <row r="16" spans="1:7">
      <c r="A16" s="77">
        <v>46054</v>
      </c>
      <c r="B16" s="74">
        <v>2</v>
      </c>
      <c r="C16" s="74" t="s">
        <v>26</v>
      </c>
      <c r="D16" s="74" t="s">
        <v>20</v>
      </c>
      <c r="E16" s="74" t="s">
        <v>4</v>
      </c>
      <c r="F16" s="80">
        <v>2266000</v>
      </c>
    </row>
    <row r="17" spans="1:6">
      <c r="A17" s="77">
        <v>46054</v>
      </c>
      <c r="B17" s="74">
        <v>2</v>
      </c>
      <c r="C17" s="74" t="s">
        <v>30</v>
      </c>
      <c r="D17" s="74" t="s">
        <v>28</v>
      </c>
      <c r="E17" s="74" t="s">
        <v>8</v>
      </c>
      <c r="F17" s="80">
        <v>2781000</v>
      </c>
    </row>
    <row r="18" spans="1:6">
      <c r="A18" s="77">
        <v>46054</v>
      </c>
      <c r="B18" s="74">
        <v>2</v>
      </c>
      <c r="C18" s="74" t="s">
        <v>32</v>
      </c>
      <c r="D18" s="74" t="s">
        <v>28</v>
      </c>
      <c r="E18" s="74" t="s">
        <v>8</v>
      </c>
      <c r="F18" s="80">
        <v>2575000</v>
      </c>
    </row>
    <row r="19" spans="1:6">
      <c r="A19" s="77">
        <v>46054</v>
      </c>
      <c r="B19" s="74">
        <v>2</v>
      </c>
      <c r="C19" s="74" t="s">
        <v>34</v>
      </c>
      <c r="D19" s="74" t="s">
        <v>28</v>
      </c>
      <c r="E19" s="74" t="s">
        <v>8</v>
      </c>
      <c r="F19" s="80">
        <v>2369000</v>
      </c>
    </row>
    <row r="20" spans="1:6">
      <c r="A20" s="77">
        <v>46054</v>
      </c>
      <c r="B20" s="74">
        <v>2</v>
      </c>
      <c r="C20" s="74" t="s">
        <v>38</v>
      </c>
      <c r="D20" s="74" t="s">
        <v>36</v>
      </c>
      <c r="E20" s="74" t="s">
        <v>11</v>
      </c>
      <c r="F20" s="80">
        <v>2472000</v>
      </c>
    </row>
    <row r="21" spans="1:6">
      <c r="A21" s="77">
        <v>46054</v>
      </c>
      <c r="B21" s="74">
        <v>2</v>
      </c>
      <c r="C21" s="74" t="s">
        <v>40</v>
      </c>
      <c r="D21" s="74" t="s">
        <v>36</v>
      </c>
      <c r="E21" s="74" t="s">
        <v>11</v>
      </c>
      <c r="F21" s="80">
        <v>2266000</v>
      </c>
    </row>
    <row r="22" spans="1:6">
      <c r="A22" s="77">
        <v>46054</v>
      </c>
      <c r="B22" s="74">
        <v>2</v>
      </c>
      <c r="C22" s="74" t="s">
        <v>42</v>
      </c>
      <c r="D22" s="74" t="s">
        <v>36</v>
      </c>
      <c r="E22" s="74" t="s">
        <v>11</v>
      </c>
      <c r="F22" s="80">
        <v>2163000</v>
      </c>
    </row>
    <row r="23" spans="1:6">
      <c r="A23" s="77">
        <v>46054</v>
      </c>
      <c r="B23" s="74">
        <v>2</v>
      </c>
      <c r="C23" s="74" t="s">
        <v>46</v>
      </c>
      <c r="D23" s="74" t="s">
        <v>44</v>
      </c>
      <c r="E23" s="74" t="s">
        <v>14</v>
      </c>
      <c r="F23" s="80">
        <v>2266000</v>
      </c>
    </row>
    <row r="24" spans="1:6">
      <c r="A24" s="77">
        <v>46054</v>
      </c>
      <c r="B24" s="74">
        <v>2</v>
      </c>
      <c r="C24" s="74" t="s">
        <v>48</v>
      </c>
      <c r="D24" s="74" t="s">
        <v>44</v>
      </c>
      <c r="E24" s="74" t="s">
        <v>14</v>
      </c>
      <c r="F24" s="80">
        <v>2060000</v>
      </c>
    </row>
    <row r="25" spans="1:6">
      <c r="A25" s="77">
        <v>46054</v>
      </c>
      <c r="B25" s="74">
        <v>2</v>
      </c>
      <c r="C25" s="74" t="s">
        <v>50</v>
      </c>
      <c r="D25" s="74" t="s">
        <v>44</v>
      </c>
      <c r="E25" s="74" t="s">
        <v>14</v>
      </c>
      <c r="F25" s="80">
        <v>1957000</v>
      </c>
    </row>
    <row r="26" spans="1:6">
      <c r="A26" s="77">
        <v>46082</v>
      </c>
      <c r="B26" s="74">
        <v>3</v>
      </c>
      <c r="C26" s="74" t="s">
        <v>22</v>
      </c>
      <c r="D26" s="74" t="s">
        <v>20</v>
      </c>
      <c r="E26" s="74" t="s">
        <v>4</v>
      </c>
      <c r="F26" s="80">
        <v>2625000</v>
      </c>
    </row>
    <row r="27" spans="1:6">
      <c r="A27" s="77">
        <v>46082</v>
      </c>
      <c r="B27" s="74">
        <v>3</v>
      </c>
      <c r="C27" s="74" t="s">
        <v>24</v>
      </c>
      <c r="D27" s="74" t="s">
        <v>20</v>
      </c>
      <c r="E27" s="74" t="s">
        <v>4</v>
      </c>
      <c r="F27" s="80">
        <v>2415000</v>
      </c>
    </row>
    <row r="28" spans="1:6">
      <c r="A28" s="77">
        <v>46082</v>
      </c>
      <c r="B28" s="74">
        <v>3</v>
      </c>
      <c r="C28" s="74" t="s">
        <v>26</v>
      </c>
      <c r="D28" s="74" t="s">
        <v>20</v>
      </c>
      <c r="E28" s="74" t="s">
        <v>4</v>
      </c>
      <c r="F28" s="80">
        <v>2310000</v>
      </c>
    </row>
    <row r="29" spans="1:6">
      <c r="A29" s="77">
        <v>46082</v>
      </c>
      <c r="B29" s="74">
        <v>3</v>
      </c>
      <c r="C29" s="74" t="s">
        <v>30</v>
      </c>
      <c r="D29" s="74" t="s">
        <v>28</v>
      </c>
      <c r="E29" s="74" t="s">
        <v>8</v>
      </c>
      <c r="F29" s="80">
        <v>2835000</v>
      </c>
    </row>
    <row r="30" spans="1:6">
      <c r="A30" s="77">
        <v>46082</v>
      </c>
      <c r="B30" s="74">
        <v>3</v>
      </c>
      <c r="C30" s="74" t="s">
        <v>32</v>
      </c>
      <c r="D30" s="74" t="s">
        <v>28</v>
      </c>
      <c r="E30" s="74" t="s">
        <v>8</v>
      </c>
      <c r="F30" s="80">
        <v>2625000</v>
      </c>
    </row>
    <row r="31" spans="1:6">
      <c r="A31" s="77">
        <v>46082</v>
      </c>
      <c r="B31" s="74">
        <v>3</v>
      </c>
      <c r="C31" s="74" t="s">
        <v>34</v>
      </c>
      <c r="D31" s="74" t="s">
        <v>28</v>
      </c>
      <c r="E31" s="74" t="s">
        <v>8</v>
      </c>
      <c r="F31" s="80">
        <v>2415000</v>
      </c>
    </row>
    <row r="32" spans="1:6">
      <c r="A32" s="77">
        <v>46082</v>
      </c>
      <c r="B32" s="74">
        <v>3</v>
      </c>
      <c r="C32" s="74" t="s">
        <v>38</v>
      </c>
      <c r="D32" s="74" t="s">
        <v>36</v>
      </c>
      <c r="E32" s="74" t="s">
        <v>11</v>
      </c>
      <c r="F32" s="80">
        <v>2520000</v>
      </c>
    </row>
    <row r="33" spans="1:6">
      <c r="A33" s="77">
        <v>46082</v>
      </c>
      <c r="B33" s="74">
        <v>3</v>
      </c>
      <c r="C33" s="74" t="s">
        <v>40</v>
      </c>
      <c r="D33" s="74" t="s">
        <v>36</v>
      </c>
      <c r="E33" s="74" t="s">
        <v>11</v>
      </c>
      <c r="F33" s="80">
        <v>2310000</v>
      </c>
    </row>
    <row r="34" spans="1:6">
      <c r="A34" s="77">
        <v>46082</v>
      </c>
      <c r="B34" s="74">
        <v>3</v>
      </c>
      <c r="C34" s="74" t="s">
        <v>42</v>
      </c>
      <c r="D34" s="74" t="s">
        <v>36</v>
      </c>
      <c r="E34" s="74" t="s">
        <v>11</v>
      </c>
      <c r="F34" s="80">
        <v>2205000</v>
      </c>
    </row>
    <row r="35" spans="1:6">
      <c r="A35" s="77">
        <v>46082</v>
      </c>
      <c r="B35" s="74">
        <v>3</v>
      </c>
      <c r="C35" s="74" t="s">
        <v>46</v>
      </c>
      <c r="D35" s="74" t="s">
        <v>44</v>
      </c>
      <c r="E35" s="74" t="s">
        <v>14</v>
      </c>
      <c r="F35" s="80">
        <v>2310000</v>
      </c>
    </row>
    <row r="36" spans="1:6">
      <c r="A36" s="77">
        <v>46082</v>
      </c>
      <c r="B36" s="74">
        <v>3</v>
      </c>
      <c r="C36" s="74" t="s">
        <v>48</v>
      </c>
      <c r="D36" s="74" t="s">
        <v>44</v>
      </c>
      <c r="E36" s="74" t="s">
        <v>14</v>
      </c>
      <c r="F36" s="80">
        <v>2100000</v>
      </c>
    </row>
    <row r="37" spans="1:6">
      <c r="A37" s="77">
        <v>46082</v>
      </c>
      <c r="B37" s="74">
        <v>3</v>
      </c>
      <c r="C37" s="74" t="s">
        <v>50</v>
      </c>
      <c r="D37" s="74" t="s">
        <v>44</v>
      </c>
      <c r="E37" s="74" t="s">
        <v>14</v>
      </c>
      <c r="F37" s="80">
        <v>1995000</v>
      </c>
    </row>
    <row r="38" spans="1:6">
      <c r="A38" s="77">
        <v>46113</v>
      </c>
      <c r="B38" s="74">
        <v>4</v>
      </c>
      <c r="C38" s="74" t="s">
        <v>22</v>
      </c>
      <c r="D38" s="74" t="s">
        <v>20</v>
      </c>
      <c r="E38" s="74" t="s">
        <v>4</v>
      </c>
      <c r="F38" s="80">
        <v>2450000</v>
      </c>
    </row>
    <row r="39" spans="1:6">
      <c r="A39" s="77">
        <v>46113</v>
      </c>
      <c r="B39" s="74">
        <v>4</v>
      </c>
      <c r="C39" s="74" t="s">
        <v>24</v>
      </c>
      <c r="D39" s="74" t="s">
        <v>20</v>
      </c>
      <c r="E39" s="74" t="s">
        <v>4</v>
      </c>
      <c r="F39" s="80">
        <v>2254000</v>
      </c>
    </row>
    <row r="40" spans="1:6">
      <c r="A40" s="77">
        <v>46113</v>
      </c>
      <c r="B40" s="74">
        <v>4</v>
      </c>
      <c r="C40" s="74" t="s">
        <v>26</v>
      </c>
      <c r="D40" s="74" t="s">
        <v>20</v>
      </c>
      <c r="E40" s="74" t="s">
        <v>4</v>
      </c>
      <c r="F40" s="80">
        <v>2156000</v>
      </c>
    </row>
    <row r="41" spans="1:6">
      <c r="A41" s="77">
        <v>46113</v>
      </c>
      <c r="B41" s="74">
        <v>4</v>
      </c>
      <c r="C41" s="74" t="s">
        <v>30</v>
      </c>
      <c r="D41" s="74" t="s">
        <v>28</v>
      </c>
      <c r="E41" s="74" t="s">
        <v>8</v>
      </c>
      <c r="F41" s="80">
        <v>2646000</v>
      </c>
    </row>
    <row r="42" spans="1:6">
      <c r="A42" s="77">
        <v>46113</v>
      </c>
      <c r="B42" s="74">
        <v>4</v>
      </c>
      <c r="C42" s="74" t="s">
        <v>32</v>
      </c>
      <c r="D42" s="74" t="s">
        <v>28</v>
      </c>
      <c r="E42" s="74" t="s">
        <v>8</v>
      </c>
      <c r="F42" s="80">
        <v>2450000</v>
      </c>
    </row>
    <row r="43" spans="1:6">
      <c r="A43" s="77">
        <v>46113</v>
      </c>
      <c r="B43" s="74">
        <v>4</v>
      </c>
      <c r="C43" s="74" t="s">
        <v>34</v>
      </c>
      <c r="D43" s="74" t="s">
        <v>28</v>
      </c>
      <c r="E43" s="74" t="s">
        <v>8</v>
      </c>
      <c r="F43" s="80">
        <v>2254000</v>
      </c>
    </row>
    <row r="44" spans="1:6">
      <c r="A44" s="77">
        <v>46113</v>
      </c>
      <c r="B44" s="74">
        <v>4</v>
      </c>
      <c r="C44" s="74" t="s">
        <v>38</v>
      </c>
      <c r="D44" s="74" t="s">
        <v>36</v>
      </c>
      <c r="E44" s="74" t="s">
        <v>11</v>
      </c>
      <c r="F44" s="80">
        <v>2352000</v>
      </c>
    </row>
    <row r="45" spans="1:6">
      <c r="A45" s="77">
        <v>46113</v>
      </c>
      <c r="B45" s="74">
        <v>4</v>
      </c>
      <c r="C45" s="74" t="s">
        <v>40</v>
      </c>
      <c r="D45" s="74" t="s">
        <v>36</v>
      </c>
      <c r="E45" s="74" t="s">
        <v>11</v>
      </c>
      <c r="F45" s="80">
        <v>2156000</v>
      </c>
    </row>
    <row r="46" spans="1:6">
      <c r="A46" s="77">
        <v>46113</v>
      </c>
      <c r="B46" s="74">
        <v>4</v>
      </c>
      <c r="C46" s="74" t="s">
        <v>42</v>
      </c>
      <c r="D46" s="74" t="s">
        <v>36</v>
      </c>
      <c r="E46" s="74" t="s">
        <v>11</v>
      </c>
      <c r="F46" s="80">
        <v>2058000</v>
      </c>
    </row>
    <row r="47" spans="1:6">
      <c r="A47" s="77">
        <v>46113</v>
      </c>
      <c r="B47" s="74">
        <v>4</v>
      </c>
      <c r="C47" s="74" t="s">
        <v>46</v>
      </c>
      <c r="D47" s="74" t="s">
        <v>44</v>
      </c>
      <c r="E47" s="74" t="s">
        <v>14</v>
      </c>
      <c r="F47" s="80">
        <v>2156000</v>
      </c>
    </row>
    <row r="48" spans="1:6">
      <c r="A48" s="77">
        <v>46113</v>
      </c>
      <c r="B48" s="74">
        <v>4</v>
      </c>
      <c r="C48" s="74" t="s">
        <v>48</v>
      </c>
      <c r="D48" s="74" t="s">
        <v>44</v>
      </c>
      <c r="E48" s="74" t="s">
        <v>14</v>
      </c>
      <c r="F48" s="80">
        <v>1960000</v>
      </c>
    </row>
    <row r="49" spans="1:6">
      <c r="A49" s="77">
        <v>46113</v>
      </c>
      <c r="B49" s="74">
        <v>4</v>
      </c>
      <c r="C49" s="74" t="s">
        <v>50</v>
      </c>
      <c r="D49" s="74" t="s">
        <v>44</v>
      </c>
      <c r="E49" s="74" t="s">
        <v>14</v>
      </c>
      <c r="F49" s="80">
        <v>1862000</v>
      </c>
    </row>
    <row r="50" spans="1:6">
      <c r="A50" s="77">
        <v>46143</v>
      </c>
      <c r="B50" s="74">
        <v>5</v>
      </c>
      <c r="C50" s="74" t="s">
        <v>22</v>
      </c>
      <c r="D50" s="74" t="s">
        <v>20</v>
      </c>
      <c r="E50" s="74" t="s">
        <v>4</v>
      </c>
      <c r="F50" s="80">
        <v>2550000</v>
      </c>
    </row>
    <row r="51" spans="1:6">
      <c r="A51" s="77">
        <v>46143</v>
      </c>
      <c r="B51" s="74">
        <v>5</v>
      </c>
      <c r="C51" s="74" t="s">
        <v>24</v>
      </c>
      <c r="D51" s="74" t="s">
        <v>20</v>
      </c>
      <c r="E51" s="74" t="s">
        <v>4</v>
      </c>
      <c r="F51" s="80">
        <v>2346000</v>
      </c>
    </row>
    <row r="52" spans="1:6">
      <c r="A52" s="77">
        <v>46143</v>
      </c>
      <c r="B52" s="74">
        <v>5</v>
      </c>
      <c r="C52" s="74" t="s">
        <v>26</v>
      </c>
      <c r="D52" s="74" t="s">
        <v>20</v>
      </c>
      <c r="E52" s="74" t="s">
        <v>4</v>
      </c>
      <c r="F52" s="80">
        <v>2244000</v>
      </c>
    </row>
    <row r="53" spans="1:6">
      <c r="A53" s="77">
        <v>46143</v>
      </c>
      <c r="B53" s="74">
        <v>5</v>
      </c>
      <c r="C53" s="74" t="s">
        <v>30</v>
      </c>
      <c r="D53" s="74" t="s">
        <v>28</v>
      </c>
      <c r="E53" s="74" t="s">
        <v>8</v>
      </c>
      <c r="F53" s="80">
        <v>2754000</v>
      </c>
    </row>
    <row r="54" spans="1:6">
      <c r="A54" s="77">
        <v>46143</v>
      </c>
      <c r="B54" s="74">
        <v>5</v>
      </c>
      <c r="C54" s="74" t="s">
        <v>32</v>
      </c>
      <c r="D54" s="74" t="s">
        <v>28</v>
      </c>
      <c r="E54" s="74" t="s">
        <v>8</v>
      </c>
      <c r="F54" s="80">
        <v>2550000</v>
      </c>
    </row>
    <row r="55" spans="1:6">
      <c r="A55" s="77">
        <v>46143</v>
      </c>
      <c r="B55" s="74">
        <v>5</v>
      </c>
      <c r="C55" s="74" t="s">
        <v>34</v>
      </c>
      <c r="D55" s="74" t="s">
        <v>28</v>
      </c>
      <c r="E55" s="74" t="s">
        <v>8</v>
      </c>
      <c r="F55" s="80">
        <v>2346000</v>
      </c>
    </row>
    <row r="56" spans="1:6">
      <c r="A56" s="77">
        <v>46143</v>
      </c>
      <c r="B56" s="74">
        <v>5</v>
      </c>
      <c r="C56" s="74" t="s">
        <v>38</v>
      </c>
      <c r="D56" s="74" t="s">
        <v>36</v>
      </c>
      <c r="E56" s="74" t="s">
        <v>11</v>
      </c>
      <c r="F56" s="80">
        <v>2448000</v>
      </c>
    </row>
    <row r="57" spans="1:6">
      <c r="A57" s="77">
        <v>46143</v>
      </c>
      <c r="B57" s="74">
        <v>5</v>
      </c>
      <c r="C57" s="74" t="s">
        <v>40</v>
      </c>
      <c r="D57" s="74" t="s">
        <v>36</v>
      </c>
      <c r="E57" s="74" t="s">
        <v>11</v>
      </c>
      <c r="F57" s="80">
        <v>2244000</v>
      </c>
    </row>
    <row r="58" spans="1:6">
      <c r="A58" s="77">
        <v>46143</v>
      </c>
      <c r="B58" s="74">
        <v>5</v>
      </c>
      <c r="C58" s="74" t="s">
        <v>42</v>
      </c>
      <c r="D58" s="74" t="s">
        <v>36</v>
      </c>
      <c r="E58" s="74" t="s">
        <v>11</v>
      </c>
      <c r="F58" s="80">
        <v>2142000</v>
      </c>
    </row>
    <row r="59" spans="1:6">
      <c r="A59" s="77">
        <v>46143</v>
      </c>
      <c r="B59" s="74">
        <v>5</v>
      </c>
      <c r="C59" s="74" t="s">
        <v>46</v>
      </c>
      <c r="D59" s="74" t="s">
        <v>44</v>
      </c>
      <c r="E59" s="74" t="s">
        <v>14</v>
      </c>
      <c r="F59" s="80">
        <v>2244000</v>
      </c>
    </row>
    <row r="60" spans="1:6">
      <c r="A60" s="77">
        <v>46143</v>
      </c>
      <c r="B60" s="74">
        <v>5</v>
      </c>
      <c r="C60" s="74" t="s">
        <v>48</v>
      </c>
      <c r="D60" s="74" t="s">
        <v>44</v>
      </c>
      <c r="E60" s="74" t="s">
        <v>14</v>
      </c>
      <c r="F60" s="80">
        <v>2040000</v>
      </c>
    </row>
    <row r="61" spans="1:6">
      <c r="A61" s="77">
        <v>46143</v>
      </c>
      <c r="B61" s="74">
        <v>5</v>
      </c>
      <c r="C61" s="74" t="s">
        <v>50</v>
      </c>
      <c r="D61" s="74" t="s">
        <v>44</v>
      </c>
      <c r="E61" s="74" t="s">
        <v>14</v>
      </c>
      <c r="F61" s="80">
        <v>1938000</v>
      </c>
    </row>
    <row r="62" spans="1:6">
      <c r="A62" s="77">
        <v>46174</v>
      </c>
      <c r="B62" s="74">
        <v>6</v>
      </c>
      <c r="C62" s="74" t="s">
        <v>22</v>
      </c>
      <c r="D62" s="74" t="s">
        <v>20</v>
      </c>
      <c r="E62" s="74" t="s">
        <v>4</v>
      </c>
      <c r="F62" s="80">
        <v>2700000</v>
      </c>
    </row>
    <row r="63" spans="1:6">
      <c r="A63" s="77">
        <v>46174</v>
      </c>
      <c r="B63" s="74">
        <v>6</v>
      </c>
      <c r="C63" s="74" t="s">
        <v>24</v>
      </c>
      <c r="D63" s="74" t="s">
        <v>20</v>
      </c>
      <c r="E63" s="74" t="s">
        <v>4</v>
      </c>
      <c r="F63" s="80">
        <v>2484000</v>
      </c>
    </row>
    <row r="64" spans="1:6">
      <c r="A64" s="77">
        <v>46174</v>
      </c>
      <c r="B64" s="74">
        <v>6</v>
      </c>
      <c r="C64" s="74" t="s">
        <v>26</v>
      </c>
      <c r="D64" s="74" t="s">
        <v>20</v>
      </c>
      <c r="E64" s="74" t="s">
        <v>4</v>
      </c>
      <c r="F64" s="80">
        <v>2376000</v>
      </c>
    </row>
    <row r="65" spans="1:6">
      <c r="A65" s="77">
        <v>46174</v>
      </c>
      <c r="B65" s="74">
        <v>6</v>
      </c>
      <c r="C65" s="74" t="s">
        <v>30</v>
      </c>
      <c r="D65" s="74" t="s">
        <v>28</v>
      </c>
      <c r="E65" s="74" t="s">
        <v>8</v>
      </c>
      <c r="F65" s="80">
        <v>2916000</v>
      </c>
    </row>
    <row r="66" spans="1:6">
      <c r="A66" s="77">
        <v>46174</v>
      </c>
      <c r="B66" s="74">
        <v>6</v>
      </c>
      <c r="C66" s="74" t="s">
        <v>32</v>
      </c>
      <c r="D66" s="74" t="s">
        <v>28</v>
      </c>
      <c r="E66" s="74" t="s">
        <v>8</v>
      </c>
      <c r="F66" s="80">
        <v>2700000</v>
      </c>
    </row>
    <row r="67" spans="1:6">
      <c r="A67" s="77">
        <v>46174</v>
      </c>
      <c r="B67" s="74">
        <v>6</v>
      </c>
      <c r="C67" s="74" t="s">
        <v>34</v>
      </c>
      <c r="D67" s="74" t="s">
        <v>28</v>
      </c>
      <c r="E67" s="74" t="s">
        <v>8</v>
      </c>
      <c r="F67" s="80">
        <v>2484000</v>
      </c>
    </row>
    <row r="68" spans="1:6">
      <c r="A68" s="77">
        <v>46174</v>
      </c>
      <c r="B68" s="74">
        <v>6</v>
      </c>
      <c r="C68" s="74" t="s">
        <v>38</v>
      </c>
      <c r="D68" s="74" t="s">
        <v>36</v>
      </c>
      <c r="E68" s="74" t="s">
        <v>11</v>
      </c>
      <c r="F68" s="80">
        <v>2592000</v>
      </c>
    </row>
    <row r="69" spans="1:6">
      <c r="A69" s="77">
        <v>46174</v>
      </c>
      <c r="B69" s="74">
        <v>6</v>
      </c>
      <c r="C69" s="74" t="s">
        <v>40</v>
      </c>
      <c r="D69" s="74" t="s">
        <v>36</v>
      </c>
      <c r="E69" s="74" t="s">
        <v>11</v>
      </c>
      <c r="F69" s="80">
        <v>2376000</v>
      </c>
    </row>
    <row r="70" spans="1:6">
      <c r="A70" s="77">
        <v>46174</v>
      </c>
      <c r="B70" s="74">
        <v>6</v>
      </c>
      <c r="C70" s="74" t="s">
        <v>42</v>
      </c>
      <c r="D70" s="74" t="s">
        <v>36</v>
      </c>
      <c r="E70" s="74" t="s">
        <v>11</v>
      </c>
      <c r="F70" s="80">
        <v>2268000</v>
      </c>
    </row>
    <row r="71" spans="1:6">
      <c r="A71" s="77">
        <v>46174</v>
      </c>
      <c r="B71" s="74">
        <v>6</v>
      </c>
      <c r="C71" s="74" t="s">
        <v>46</v>
      </c>
      <c r="D71" s="74" t="s">
        <v>44</v>
      </c>
      <c r="E71" s="74" t="s">
        <v>14</v>
      </c>
      <c r="F71" s="80">
        <v>2376000</v>
      </c>
    </row>
    <row r="72" spans="1:6">
      <c r="A72" s="77">
        <v>46174</v>
      </c>
      <c r="B72" s="74">
        <v>6</v>
      </c>
      <c r="C72" s="74" t="s">
        <v>48</v>
      </c>
      <c r="D72" s="74" t="s">
        <v>44</v>
      </c>
      <c r="E72" s="74" t="s">
        <v>14</v>
      </c>
      <c r="F72" s="80">
        <v>2160000</v>
      </c>
    </row>
    <row r="73" spans="1:6">
      <c r="A73" s="77">
        <v>46174</v>
      </c>
      <c r="B73" s="74">
        <v>6</v>
      </c>
      <c r="C73" s="74" t="s">
        <v>50</v>
      </c>
      <c r="D73" s="74" t="s">
        <v>44</v>
      </c>
      <c r="E73" s="74" t="s">
        <v>14</v>
      </c>
      <c r="F73" s="80">
        <v>2052000</v>
      </c>
    </row>
    <row r="74" spans="1:6">
      <c r="A74" s="77">
        <v>46204</v>
      </c>
      <c r="B74" s="74">
        <v>7</v>
      </c>
      <c r="C74" s="74" t="s">
        <v>22</v>
      </c>
      <c r="D74" s="74" t="s">
        <v>20</v>
      </c>
      <c r="E74" s="74" t="s">
        <v>4</v>
      </c>
      <c r="F74" s="80">
        <v>2600000</v>
      </c>
    </row>
    <row r="75" spans="1:6">
      <c r="A75" s="77">
        <v>46204</v>
      </c>
      <c r="B75" s="74">
        <v>7</v>
      </c>
      <c r="C75" s="74" t="s">
        <v>24</v>
      </c>
      <c r="D75" s="74" t="s">
        <v>20</v>
      </c>
      <c r="E75" s="74" t="s">
        <v>4</v>
      </c>
      <c r="F75" s="80">
        <v>2392000</v>
      </c>
    </row>
    <row r="76" spans="1:6">
      <c r="A76" s="77">
        <v>46204</v>
      </c>
      <c r="B76" s="74">
        <v>7</v>
      </c>
      <c r="C76" s="74" t="s">
        <v>26</v>
      </c>
      <c r="D76" s="74" t="s">
        <v>20</v>
      </c>
      <c r="E76" s="74" t="s">
        <v>4</v>
      </c>
      <c r="F76" s="80">
        <v>2288000</v>
      </c>
    </row>
    <row r="77" spans="1:6">
      <c r="A77" s="77">
        <v>46204</v>
      </c>
      <c r="B77" s="74">
        <v>7</v>
      </c>
      <c r="C77" s="74" t="s">
        <v>30</v>
      </c>
      <c r="D77" s="74" t="s">
        <v>28</v>
      </c>
      <c r="E77" s="74" t="s">
        <v>8</v>
      </c>
      <c r="F77" s="80">
        <v>2808000</v>
      </c>
    </row>
    <row r="78" spans="1:6">
      <c r="A78" s="77">
        <v>46204</v>
      </c>
      <c r="B78" s="74">
        <v>7</v>
      </c>
      <c r="C78" s="74" t="s">
        <v>32</v>
      </c>
      <c r="D78" s="74" t="s">
        <v>28</v>
      </c>
      <c r="E78" s="74" t="s">
        <v>8</v>
      </c>
      <c r="F78" s="80">
        <v>2600000</v>
      </c>
    </row>
    <row r="79" spans="1:6">
      <c r="A79" s="77">
        <v>46204</v>
      </c>
      <c r="B79" s="74">
        <v>7</v>
      </c>
      <c r="C79" s="74" t="s">
        <v>34</v>
      </c>
      <c r="D79" s="74" t="s">
        <v>28</v>
      </c>
      <c r="E79" s="74" t="s">
        <v>8</v>
      </c>
      <c r="F79" s="80">
        <v>2392000</v>
      </c>
    </row>
    <row r="80" spans="1:6">
      <c r="A80" s="77">
        <v>46204</v>
      </c>
      <c r="B80" s="74">
        <v>7</v>
      </c>
      <c r="C80" s="74" t="s">
        <v>38</v>
      </c>
      <c r="D80" s="74" t="s">
        <v>36</v>
      </c>
      <c r="E80" s="74" t="s">
        <v>11</v>
      </c>
      <c r="F80" s="80">
        <v>2496000</v>
      </c>
    </row>
    <row r="81" spans="1:6">
      <c r="A81" s="77">
        <v>46204</v>
      </c>
      <c r="B81" s="74">
        <v>7</v>
      </c>
      <c r="C81" s="74" t="s">
        <v>40</v>
      </c>
      <c r="D81" s="74" t="s">
        <v>36</v>
      </c>
      <c r="E81" s="74" t="s">
        <v>11</v>
      </c>
      <c r="F81" s="80">
        <v>2288000</v>
      </c>
    </row>
    <row r="82" spans="1:6">
      <c r="A82" s="77">
        <v>46204</v>
      </c>
      <c r="B82" s="74">
        <v>7</v>
      </c>
      <c r="C82" s="74" t="s">
        <v>42</v>
      </c>
      <c r="D82" s="74" t="s">
        <v>36</v>
      </c>
      <c r="E82" s="74" t="s">
        <v>11</v>
      </c>
      <c r="F82" s="80">
        <v>2184000</v>
      </c>
    </row>
    <row r="83" spans="1:6">
      <c r="A83" s="77">
        <v>46204</v>
      </c>
      <c r="B83" s="74">
        <v>7</v>
      </c>
      <c r="C83" s="74" t="s">
        <v>46</v>
      </c>
      <c r="D83" s="74" t="s">
        <v>44</v>
      </c>
      <c r="E83" s="74" t="s">
        <v>14</v>
      </c>
      <c r="F83" s="80">
        <v>2288000</v>
      </c>
    </row>
    <row r="84" spans="1:6">
      <c r="A84" s="77">
        <v>46204</v>
      </c>
      <c r="B84" s="74">
        <v>7</v>
      </c>
      <c r="C84" s="74" t="s">
        <v>48</v>
      </c>
      <c r="D84" s="74" t="s">
        <v>44</v>
      </c>
      <c r="E84" s="74" t="s">
        <v>14</v>
      </c>
      <c r="F84" s="80">
        <v>2080000</v>
      </c>
    </row>
    <row r="85" spans="1:6">
      <c r="A85" s="77">
        <v>46204</v>
      </c>
      <c r="B85" s="74">
        <v>7</v>
      </c>
      <c r="C85" s="74" t="s">
        <v>50</v>
      </c>
      <c r="D85" s="74" t="s">
        <v>44</v>
      </c>
      <c r="E85" s="74" t="s">
        <v>14</v>
      </c>
      <c r="F85" s="80">
        <v>1976000</v>
      </c>
    </row>
    <row r="86" spans="1:6">
      <c r="A86" s="77">
        <v>46235</v>
      </c>
      <c r="B86" s="74">
        <v>8</v>
      </c>
      <c r="C86" s="74" t="s">
        <v>22</v>
      </c>
      <c r="D86" s="74" t="s">
        <v>20</v>
      </c>
      <c r="E86" s="74" t="s">
        <v>4</v>
      </c>
      <c r="F86" s="80">
        <v>2650000</v>
      </c>
    </row>
    <row r="87" spans="1:6">
      <c r="A87" s="77">
        <v>46235</v>
      </c>
      <c r="B87" s="74">
        <v>8</v>
      </c>
      <c r="C87" s="74" t="s">
        <v>24</v>
      </c>
      <c r="D87" s="74" t="s">
        <v>20</v>
      </c>
      <c r="E87" s="74" t="s">
        <v>4</v>
      </c>
      <c r="F87" s="80">
        <v>2438000</v>
      </c>
    </row>
    <row r="88" spans="1:6">
      <c r="A88" s="77">
        <v>46235</v>
      </c>
      <c r="B88" s="74">
        <v>8</v>
      </c>
      <c r="C88" s="74" t="s">
        <v>26</v>
      </c>
      <c r="D88" s="74" t="s">
        <v>20</v>
      </c>
      <c r="E88" s="74" t="s">
        <v>4</v>
      </c>
      <c r="F88" s="80">
        <v>2332000</v>
      </c>
    </row>
    <row r="89" spans="1:6">
      <c r="A89" s="77">
        <v>46235</v>
      </c>
      <c r="B89" s="74">
        <v>8</v>
      </c>
      <c r="C89" s="74" t="s">
        <v>30</v>
      </c>
      <c r="D89" s="74" t="s">
        <v>28</v>
      </c>
      <c r="E89" s="74" t="s">
        <v>8</v>
      </c>
      <c r="F89" s="80">
        <v>2862000</v>
      </c>
    </row>
    <row r="90" spans="1:6">
      <c r="A90" s="77">
        <v>46235</v>
      </c>
      <c r="B90" s="74">
        <v>8</v>
      </c>
      <c r="C90" s="74" t="s">
        <v>32</v>
      </c>
      <c r="D90" s="74" t="s">
        <v>28</v>
      </c>
      <c r="E90" s="74" t="s">
        <v>8</v>
      </c>
      <c r="F90" s="80">
        <v>2650000</v>
      </c>
    </row>
    <row r="91" spans="1:6">
      <c r="A91" s="77">
        <v>46235</v>
      </c>
      <c r="B91" s="74">
        <v>8</v>
      </c>
      <c r="C91" s="74" t="s">
        <v>34</v>
      </c>
      <c r="D91" s="74" t="s">
        <v>28</v>
      </c>
      <c r="E91" s="74" t="s">
        <v>8</v>
      </c>
      <c r="F91" s="80">
        <v>2438000</v>
      </c>
    </row>
    <row r="92" spans="1:6">
      <c r="A92" s="77">
        <v>46235</v>
      </c>
      <c r="B92" s="74">
        <v>8</v>
      </c>
      <c r="C92" s="74" t="s">
        <v>38</v>
      </c>
      <c r="D92" s="74" t="s">
        <v>36</v>
      </c>
      <c r="E92" s="74" t="s">
        <v>11</v>
      </c>
      <c r="F92" s="80">
        <v>2544000</v>
      </c>
    </row>
    <row r="93" spans="1:6">
      <c r="A93" s="77">
        <v>46235</v>
      </c>
      <c r="B93" s="74">
        <v>8</v>
      </c>
      <c r="C93" s="74" t="s">
        <v>40</v>
      </c>
      <c r="D93" s="74" t="s">
        <v>36</v>
      </c>
      <c r="E93" s="74" t="s">
        <v>11</v>
      </c>
      <c r="F93" s="80">
        <v>2332000</v>
      </c>
    </row>
    <row r="94" spans="1:6">
      <c r="A94" s="77">
        <v>46235</v>
      </c>
      <c r="B94" s="74">
        <v>8</v>
      </c>
      <c r="C94" s="74" t="s">
        <v>42</v>
      </c>
      <c r="D94" s="74" t="s">
        <v>36</v>
      </c>
      <c r="E94" s="74" t="s">
        <v>11</v>
      </c>
      <c r="F94" s="80">
        <v>2226000</v>
      </c>
    </row>
    <row r="95" spans="1:6">
      <c r="A95" s="77">
        <v>46235</v>
      </c>
      <c r="B95" s="74">
        <v>8</v>
      </c>
      <c r="C95" s="74" t="s">
        <v>46</v>
      </c>
      <c r="D95" s="74" t="s">
        <v>44</v>
      </c>
      <c r="E95" s="74" t="s">
        <v>14</v>
      </c>
      <c r="F95" s="80">
        <v>2332000</v>
      </c>
    </row>
    <row r="96" spans="1:6">
      <c r="A96" s="77">
        <v>46235</v>
      </c>
      <c r="B96" s="74">
        <v>8</v>
      </c>
      <c r="C96" s="74" t="s">
        <v>48</v>
      </c>
      <c r="D96" s="74" t="s">
        <v>44</v>
      </c>
      <c r="E96" s="74" t="s">
        <v>14</v>
      </c>
      <c r="F96" s="80">
        <v>2120000</v>
      </c>
    </row>
    <row r="97" spans="1:6">
      <c r="A97" s="77">
        <v>46235</v>
      </c>
      <c r="B97" s="74">
        <v>8</v>
      </c>
      <c r="C97" s="74" t="s">
        <v>50</v>
      </c>
      <c r="D97" s="74" t="s">
        <v>44</v>
      </c>
      <c r="E97" s="74" t="s">
        <v>14</v>
      </c>
      <c r="F97" s="80">
        <v>2014000</v>
      </c>
    </row>
    <row r="98" spans="1:6">
      <c r="A98" s="77">
        <v>46266</v>
      </c>
      <c r="B98" s="74">
        <v>9</v>
      </c>
      <c r="C98" s="74" t="s">
        <v>22</v>
      </c>
      <c r="D98" s="74" t="s">
        <v>20</v>
      </c>
      <c r="E98" s="74" t="s">
        <v>4</v>
      </c>
      <c r="F98" s="80">
        <v>2675000</v>
      </c>
    </row>
    <row r="99" spans="1:6">
      <c r="A99" s="77">
        <v>46266</v>
      </c>
      <c r="B99" s="74">
        <v>9</v>
      </c>
      <c r="C99" s="74" t="s">
        <v>24</v>
      </c>
      <c r="D99" s="74" t="s">
        <v>20</v>
      </c>
      <c r="E99" s="74" t="s">
        <v>4</v>
      </c>
      <c r="F99" s="80">
        <v>2461000</v>
      </c>
    </row>
    <row r="100" spans="1:6">
      <c r="A100" s="77">
        <v>46266</v>
      </c>
      <c r="B100" s="74">
        <v>9</v>
      </c>
      <c r="C100" s="74" t="s">
        <v>26</v>
      </c>
      <c r="D100" s="74" t="s">
        <v>20</v>
      </c>
      <c r="E100" s="74" t="s">
        <v>4</v>
      </c>
      <c r="F100" s="80">
        <v>2354000</v>
      </c>
    </row>
    <row r="101" spans="1:6">
      <c r="A101" s="77">
        <v>46266</v>
      </c>
      <c r="B101" s="74">
        <v>9</v>
      </c>
      <c r="C101" s="74" t="s">
        <v>30</v>
      </c>
      <c r="D101" s="74" t="s">
        <v>28</v>
      </c>
      <c r="E101" s="74" t="s">
        <v>8</v>
      </c>
      <c r="F101" s="80">
        <v>2889000</v>
      </c>
    </row>
    <row r="102" spans="1:6">
      <c r="A102" s="77">
        <v>46266</v>
      </c>
      <c r="B102" s="74">
        <v>9</v>
      </c>
      <c r="C102" s="74" t="s">
        <v>32</v>
      </c>
      <c r="D102" s="74" t="s">
        <v>28</v>
      </c>
      <c r="E102" s="74" t="s">
        <v>8</v>
      </c>
      <c r="F102" s="80">
        <v>2675000</v>
      </c>
    </row>
    <row r="103" spans="1:6">
      <c r="A103" s="77">
        <v>46266</v>
      </c>
      <c r="B103" s="74">
        <v>9</v>
      </c>
      <c r="C103" s="74" t="s">
        <v>34</v>
      </c>
      <c r="D103" s="74" t="s">
        <v>28</v>
      </c>
      <c r="E103" s="74" t="s">
        <v>8</v>
      </c>
      <c r="F103" s="80">
        <v>2461000</v>
      </c>
    </row>
    <row r="104" spans="1:6">
      <c r="A104" s="77">
        <v>46266</v>
      </c>
      <c r="B104" s="74">
        <v>9</v>
      </c>
      <c r="C104" s="74" t="s">
        <v>38</v>
      </c>
      <c r="D104" s="74" t="s">
        <v>36</v>
      </c>
      <c r="E104" s="74" t="s">
        <v>11</v>
      </c>
      <c r="F104" s="80">
        <v>2568000</v>
      </c>
    </row>
    <row r="105" spans="1:6">
      <c r="A105" s="77">
        <v>46266</v>
      </c>
      <c r="B105" s="74">
        <v>9</v>
      </c>
      <c r="C105" s="74" t="s">
        <v>40</v>
      </c>
      <c r="D105" s="74" t="s">
        <v>36</v>
      </c>
      <c r="E105" s="74" t="s">
        <v>11</v>
      </c>
      <c r="F105" s="80">
        <v>2354000</v>
      </c>
    </row>
    <row r="106" spans="1:6">
      <c r="A106" s="77">
        <v>46266</v>
      </c>
      <c r="B106" s="74">
        <v>9</v>
      </c>
      <c r="C106" s="74" t="s">
        <v>42</v>
      </c>
      <c r="D106" s="74" t="s">
        <v>36</v>
      </c>
      <c r="E106" s="74" t="s">
        <v>11</v>
      </c>
      <c r="F106" s="80">
        <v>2247000</v>
      </c>
    </row>
    <row r="107" spans="1:6">
      <c r="A107" s="77">
        <v>46266</v>
      </c>
      <c r="B107" s="74">
        <v>9</v>
      </c>
      <c r="C107" s="74" t="s">
        <v>46</v>
      </c>
      <c r="D107" s="74" t="s">
        <v>44</v>
      </c>
      <c r="E107" s="74" t="s">
        <v>14</v>
      </c>
      <c r="F107" s="80">
        <v>2354000</v>
      </c>
    </row>
    <row r="108" spans="1:6">
      <c r="A108" s="77">
        <v>46266</v>
      </c>
      <c r="B108" s="74">
        <v>9</v>
      </c>
      <c r="C108" s="74" t="s">
        <v>48</v>
      </c>
      <c r="D108" s="74" t="s">
        <v>44</v>
      </c>
      <c r="E108" s="74" t="s">
        <v>14</v>
      </c>
      <c r="F108" s="80">
        <v>2140000</v>
      </c>
    </row>
    <row r="109" spans="1:6">
      <c r="A109" s="77">
        <v>46266</v>
      </c>
      <c r="B109" s="74">
        <v>9</v>
      </c>
      <c r="C109" s="74" t="s">
        <v>50</v>
      </c>
      <c r="D109" s="74" t="s">
        <v>44</v>
      </c>
      <c r="E109" s="74" t="s">
        <v>14</v>
      </c>
      <c r="F109" s="80">
        <v>2033000</v>
      </c>
    </row>
    <row r="110" spans="1:6">
      <c r="A110" s="77">
        <v>46296</v>
      </c>
      <c r="B110" s="74">
        <v>10</v>
      </c>
      <c r="C110" s="74" t="s">
        <v>22</v>
      </c>
      <c r="D110" s="74" t="s">
        <v>20</v>
      </c>
      <c r="E110" s="74" t="s">
        <v>4</v>
      </c>
      <c r="F110" s="80">
        <v>2750000</v>
      </c>
    </row>
    <row r="111" spans="1:6">
      <c r="A111" s="77">
        <v>46296</v>
      </c>
      <c r="B111" s="74">
        <v>10</v>
      </c>
      <c r="C111" s="74" t="s">
        <v>24</v>
      </c>
      <c r="D111" s="74" t="s">
        <v>20</v>
      </c>
      <c r="E111" s="74" t="s">
        <v>4</v>
      </c>
      <c r="F111" s="80">
        <v>2530000</v>
      </c>
    </row>
    <row r="112" spans="1:6">
      <c r="A112" s="77">
        <v>46296</v>
      </c>
      <c r="B112" s="74">
        <v>10</v>
      </c>
      <c r="C112" s="74" t="s">
        <v>26</v>
      </c>
      <c r="D112" s="74" t="s">
        <v>20</v>
      </c>
      <c r="E112" s="74" t="s">
        <v>4</v>
      </c>
      <c r="F112" s="80">
        <v>2420000</v>
      </c>
    </row>
    <row r="113" spans="1:6">
      <c r="A113" s="77">
        <v>46296</v>
      </c>
      <c r="B113" s="74">
        <v>10</v>
      </c>
      <c r="C113" s="74" t="s">
        <v>30</v>
      </c>
      <c r="D113" s="74" t="s">
        <v>28</v>
      </c>
      <c r="E113" s="74" t="s">
        <v>8</v>
      </c>
      <c r="F113" s="80">
        <v>2970000</v>
      </c>
    </row>
    <row r="114" spans="1:6">
      <c r="A114" s="77">
        <v>46296</v>
      </c>
      <c r="B114" s="74">
        <v>10</v>
      </c>
      <c r="C114" s="74" t="s">
        <v>32</v>
      </c>
      <c r="D114" s="74" t="s">
        <v>28</v>
      </c>
      <c r="E114" s="74" t="s">
        <v>8</v>
      </c>
      <c r="F114" s="80">
        <v>2750000</v>
      </c>
    </row>
    <row r="115" spans="1:6">
      <c r="A115" s="77">
        <v>46296</v>
      </c>
      <c r="B115" s="74">
        <v>10</v>
      </c>
      <c r="C115" s="74" t="s">
        <v>34</v>
      </c>
      <c r="D115" s="74" t="s">
        <v>28</v>
      </c>
      <c r="E115" s="74" t="s">
        <v>8</v>
      </c>
      <c r="F115" s="80">
        <v>2530000</v>
      </c>
    </row>
    <row r="116" spans="1:6">
      <c r="A116" s="77">
        <v>46296</v>
      </c>
      <c r="B116" s="74">
        <v>10</v>
      </c>
      <c r="C116" s="74" t="s">
        <v>38</v>
      </c>
      <c r="D116" s="74" t="s">
        <v>36</v>
      </c>
      <c r="E116" s="74" t="s">
        <v>11</v>
      </c>
      <c r="F116" s="80">
        <v>2640000</v>
      </c>
    </row>
    <row r="117" spans="1:6">
      <c r="A117" s="77">
        <v>46296</v>
      </c>
      <c r="B117" s="74">
        <v>10</v>
      </c>
      <c r="C117" s="74" t="s">
        <v>40</v>
      </c>
      <c r="D117" s="74" t="s">
        <v>36</v>
      </c>
      <c r="E117" s="74" t="s">
        <v>11</v>
      </c>
      <c r="F117" s="80">
        <v>2420000</v>
      </c>
    </row>
    <row r="118" spans="1:6">
      <c r="A118" s="77">
        <v>46296</v>
      </c>
      <c r="B118" s="74">
        <v>10</v>
      </c>
      <c r="C118" s="74" t="s">
        <v>42</v>
      </c>
      <c r="D118" s="74" t="s">
        <v>36</v>
      </c>
      <c r="E118" s="74" t="s">
        <v>11</v>
      </c>
      <c r="F118" s="80">
        <v>2310000</v>
      </c>
    </row>
    <row r="119" spans="1:6">
      <c r="A119" s="77">
        <v>46296</v>
      </c>
      <c r="B119" s="74">
        <v>10</v>
      </c>
      <c r="C119" s="74" t="s">
        <v>46</v>
      </c>
      <c r="D119" s="74" t="s">
        <v>44</v>
      </c>
      <c r="E119" s="74" t="s">
        <v>14</v>
      </c>
      <c r="F119" s="80">
        <v>2420000</v>
      </c>
    </row>
    <row r="120" spans="1:6">
      <c r="A120" s="77">
        <v>46296</v>
      </c>
      <c r="B120" s="74">
        <v>10</v>
      </c>
      <c r="C120" s="74" t="s">
        <v>48</v>
      </c>
      <c r="D120" s="74" t="s">
        <v>44</v>
      </c>
      <c r="E120" s="74" t="s">
        <v>14</v>
      </c>
      <c r="F120" s="80">
        <v>2200000</v>
      </c>
    </row>
    <row r="121" spans="1:6">
      <c r="A121" s="77">
        <v>46296</v>
      </c>
      <c r="B121" s="74">
        <v>10</v>
      </c>
      <c r="C121" s="74" t="s">
        <v>50</v>
      </c>
      <c r="D121" s="74" t="s">
        <v>44</v>
      </c>
      <c r="E121" s="74" t="s">
        <v>14</v>
      </c>
      <c r="F121" s="80">
        <v>2090000</v>
      </c>
    </row>
    <row r="122" spans="1:6">
      <c r="A122" s="77">
        <v>46327</v>
      </c>
      <c r="B122" s="74">
        <v>11</v>
      </c>
      <c r="C122" s="74" t="s">
        <v>22</v>
      </c>
      <c r="D122" s="74" t="s">
        <v>20</v>
      </c>
      <c r="E122" s="74" t="s">
        <v>4</v>
      </c>
      <c r="F122" s="80">
        <v>2800000</v>
      </c>
    </row>
    <row r="123" spans="1:6">
      <c r="A123" s="77">
        <v>46327</v>
      </c>
      <c r="B123" s="74">
        <v>11</v>
      </c>
      <c r="C123" s="74" t="s">
        <v>24</v>
      </c>
      <c r="D123" s="74" t="s">
        <v>20</v>
      </c>
      <c r="E123" s="74" t="s">
        <v>4</v>
      </c>
      <c r="F123" s="80">
        <v>2576000</v>
      </c>
    </row>
    <row r="124" spans="1:6">
      <c r="A124" s="77">
        <v>46327</v>
      </c>
      <c r="B124" s="74">
        <v>11</v>
      </c>
      <c r="C124" s="74" t="s">
        <v>26</v>
      </c>
      <c r="D124" s="74" t="s">
        <v>20</v>
      </c>
      <c r="E124" s="74" t="s">
        <v>4</v>
      </c>
      <c r="F124" s="80">
        <v>2464000</v>
      </c>
    </row>
    <row r="125" spans="1:6">
      <c r="A125" s="77">
        <v>46327</v>
      </c>
      <c r="B125" s="74">
        <v>11</v>
      </c>
      <c r="C125" s="74" t="s">
        <v>30</v>
      </c>
      <c r="D125" s="74" t="s">
        <v>28</v>
      </c>
      <c r="E125" s="74" t="s">
        <v>8</v>
      </c>
      <c r="F125" s="80">
        <v>3024000</v>
      </c>
    </row>
    <row r="126" spans="1:6">
      <c r="A126" s="77">
        <v>46327</v>
      </c>
      <c r="B126" s="74">
        <v>11</v>
      </c>
      <c r="C126" s="74" t="s">
        <v>32</v>
      </c>
      <c r="D126" s="74" t="s">
        <v>28</v>
      </c>
      <c r="E126" s="74" t="s">
        <v>8</v>
      </c>
      <c r="F126" s="80">
        <v>2800000</v>
      </c>
    </row>
    <row r="127" spans="1:6">
      <c r="A127" s="77">
        <v>46327</v>
      </c>
      <c r="B127" s="74">
        <v>11</v>
      </c>
      <c r="C127" s="74" t="s">
        <v>34</v>
      </c>
      <c r="D127" s="74" t="s">
        <v>28</v>
      </c>
      <c r="E127" s="74" t="s">
        <v>8</v>
      </c>
      <c r="F127" s="80">
        <v>2576000</v>
      </c>
    </row>
    <row r="128" spans="1:6">
      <c r="A128" s="77">
        <v>46327</v>
      </c>
      <c r="B128" s="74">
        <v>11</v>
      </c>
      <c r="C128" s="74" t="s">
        <v>38</v>
      </c>
      <c r="D128" s="74" t="s">
        <v>36</v>
      </c>
      <c r="E128" s="74" t="s">
        <v>11</v>
      </c>
      <c r="F128" s="80">
        <v>2688000</v>
      </c>
    </row>
    <row r="129" spans="1:6">
      <c r="A129" s="77">
        <v>46327</v>
      </c>
      <c r="B129" s="74">
        <v>11</v>
      </c>
      <c r="C129" s="74" t="s">
        <v>40</v>
      </c>
      <c r="D129" s="74" t="s">
        <v>36</v>
      </c>
      <c r="E129" s="74" t="s">
        <v>11</v>
      </c>
      <c r="F129" s="80">
        <v>2464000</v>
      </c>
    </row>
    <row r="130" spans="1:6">
      <c r="A130" s="77">
        <v>46327</v>
      </c>
      <c r="B130" s="74">
        <v>11</v>
      </c>
      <c r="C130" s="74" t="s">
        <v>42</v>
      </c>
      <c r="D130" s="74" t="s">
        <v>36</v>
      </c>
      <c r="E130" s="74" t="s">
        <v>11</v>
      </c>
      <c r="F130" s="80">
        <v>2352000</v>
      </c>
    </row>
    <row r="131" spans="1:6">
      <c r="A131" s="77">
        <v>46327</v>
      </c>
      <c r="B131" s="74">
        <v>11</v>
      </c>
      <c r="C131" s="74" t="s">
        <v>46</v>
      </c>
      <c r="D131" s="74" t="s">
        <v>44</v>
      </c>
      <c r="E131" s="74" t="s">
        <v>14</v>
      </c>
      <c r="F131" s="80">
        <v>2464000</v>
      </c>
    </row>
    <row r="132" spans="1:6">
      <c r="A132" s="77">
        <v>46327</v>
      </c>
      <c r="B132" s="74">
        <v>11</v>
      </c>
      <c r="C132" s="74" t="s">
        <v>48</v>
      </c>
      <c r="D132" s="74" t="s">
        <v>44</v>
      </c>
      <c r="E132" s="74" t="s">
        <v>14</v>
      </c>
      <c r="F132" s="80">
        <v>2240000</v>
      </c>
    </row>
    <row r="133" spans="1:6">
      <c r="A133" s="77">
        <v>46327</v>
      </c>
      <c r="B133" s="74">
        <v>11</v>
      </c>
      <c r="C133" s="74" t="s">
        <v>50</v>
      </c>
      <c r="D133" s="74" t="s">
        <v>44</v>
      </c>
      <c r="E133" s="74" t="s">
        <v>14</v>
      </c>
      <c r="F133" s="80">
        <v>2128000</v>
      </c>
    </row>
    <row r="134" spans="1:6">
      <c r="A134" s="77">
        <v>46357</v>
      </c>
      <c r="B134" s="74">
        <v>12</v>
      </c>
      <c r="C134" s="74" t="s">
        <v>22</v>
      </c>
      <c r="D134" s="74" t="s">
        <v>20</v>
      </c>
      <c r="E134" s="74" t="s">
        <v>4</v>
      </c>
      <c r="F134" s="80">
        <v>3000000</v>
      </c>
    </row>
    <row r="135" spans="1:6">
      <c r="A135" s="77">
        <v>46357</v>
      </c>
      <c r="B135" s="74">
        <v>12</v>
      </c>
      <c r="C135" s="74" t="s">
        <v>24</v>
      </c>
      <c r="D135" s="74" t="s">
        <v>20</v>
      </c>
      <c r="E135" s="74" t="s">
        <v>4</v>
      </c>
      <c r="F135" s="80">
        <v>2760000</v>
      </c>
    </row>
    <row r="136" spans="1:6">
      <c r="A136" s="77">
        <v>46357</v>
      </c>
      <c r="B136" s="74">
        <v>12</v>
      </c>
      <c r="C136" s="74" t="s">
        <v>26</v>
      </c>
      <c r="D136" s="74" t="s">
        <v>20</v>
      </c>
      <c r="E136" s="74" t="s">
        <v>4</v>
      </c>
      <c r="F136" s="80">
        <v>2640000</v>
      </c>
    </row>
    <row r="137" spans="1:6">
      <c r="A137" s="77">
        <v>46357</v>
      </c>
      <c r="B137" s="74">
        <v>12</v>
      </c>
      <c r="C137" s="74" t="s">
        <v>30</v>
      </c>
      <c r="D137" s="74" t="s">
        <v>28</v>
      </c>
      <c r="E137" s="74" t="s">
        <v>8</v>
      </c>
      <c r="F137" s="80">
        <v>3240000</v>
      </c>
    </row>
    <row r="138" spans="1:6">
      <c r="A138" s="77">
        <v>46357</v>
      </c>
      <c r="B138" s="74">
        <v>12</v>
      </c>
      <c r="C138" s="74" t="s">
        <v>32</v>
      </c>
      <c r="D138" s="74" t="s">
        <v>28</v>
      </c>
      <c r="E138" s="74" t="s">
        <v>8</v>
      </c>
      <c r="F138" s="80">
        <v>3000000</v>
      </c>
    </row>
    <row r="139" spans="1:6">
      <c r="A139" s="77">
        <v>46357</v>
      </c>
      <c r="B139" s="74">
        <v>12</v>
      </c>
      <c r="C139" s="74" t="s">
        <v>34</v>
      </c>
      <c r="D139" s="74" t="s">
        <v>28</v>
      </c>
      <c r="E139" s="74" t="s">
        <v>8</v>
      </c>
      <c r="F139" s="80">
        <v>2760000</v>
      </c>
    </row>
    <row r="140" spans="1:6">
      <c r="A140" s="77">
        <v>46357</v>
      </c>
      <c r="B140" s="74">
        <v>12</v>
      </c>
      <c r="C140" s="74" t="s">
        <v>38</v>
      </c>
      <c r="D140" s="74" t="s">
        <v>36</v>
      </c>
      <c r="E140" s="74" t="s">
        <v>11</v>
      </c>
      <c r="F140" s="80">
        <v>2880000</v>
      </c>
    </row>
    <row r="141" spans="1:6">
      <c r="A141" s="77">
        <v>46357</v>
      </c>
      <c r="B141" s="74">
        <v>12</v>
      </c>
      <c r="C141" s="74" t="s">
        <v>40</v>
      </c>
      <c r="D141" s="74" t="s">
        <v>36</v>
      </c>
      <c r="E141" s="74" t="s">
        <v>11</v>
      </c>
      <c r="F141" s="80">
        <v>2640000</v>
      </c>
    </row>
    <row r="142" spans="1:6">
      <c r="A142" s="77">
        <v>46357</v>
      </c>
      <c r="B142" s="74">
        <v>12</v>
      </c>
      <c r="C142" s="74" t="s">
        <v>42</v>
      </c>
      <c r="D142" s="74" t="s">
        <v>36</v>
      </c>
      <c r="E142" s="74" t="s">
        <v>11</v>
      </c>
      <c r="F142" s="80">
        <v>2520000</v>
      </c>
    </row>
    <row r="143" spans="1:6">
      <c r="A143" s="77">
        <v>46357</v>
      </c>
      <c r="B143" s="74">
        <v>12</v>
      </c>
      <c r="C143" s="74" t="s">
        <v>46</v>
      </c>
      <c r="D143" s="74" t="s">
        <v>44</v>
      </c>
      <c r="E143" s="74" t="s">
        <v>14</v>
      </c>
      <c r="F143" s="80">
        <v>2640000</v>
      </c>
    </row>
    <row r="144" spans="1:6">
      <c r="A144" s="77">
        <v>46357</v>
      </c>
      <c r="B144" s="74">
        <v>12</v>
      </c>
      <c r="C144" s="74" t="s">
        <v>48</v>
      </c>
      <c r="D144" s="74" t="s">
        <v>44</v>
      </c>
      <c r="E144" s="74" t="s">
        <v>14</v>
      </c>
      <c r="F144" s="80">
        <v>2400000</v>
      </c>
    </row>
    <row r="145" spans="1:6">
      <c r="A145" s="77">
        <v>46357</v>
      </c>
      <c r="B145" s="74">
        <v>12</v>
      </c>
      <c r="C145" s="74" t="s">
        <v>50</v>
      </c>
      <c r="D145" s="74" t="s">
        <v>44</v>
      </c>
      <c r="E145" s="74" t="s">
        <v>14</v>
      </c>
      <c r="F145" s="80">
        <v>2280000</v>
      </c>
    </row>
    <row r="146" spans="1:6">
      <c r="A146" s="7"/>
      <c r="F146" s="80">
        <f>SUBTOTAL(109,tblSalesTargets[Target Amount])</f>
        <v>348075000</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8A5C-1089-4AA0-A2B5-EE512CC51CBD}">
  <dimension ref="A1:L302"/>
  <sheetViews>
    <sheetView workbookViewId="0">
      <selection activeCell="C1" sqref="C1"/>
    </sheetView>
  </sheetViews>
  <sheetFormatPr defaultRowHeight="15"/>
  <cols>
    <col min="1" max="1" width="15.85546875" bestFit="1" customWidth="1"/>
    <col min="2" max="2" width="10.140625" bestFit="1" customWidth="1"/>
    <col min="3" max="3" width="15.140625" bestFit="1" customWidth="1"/>
    <col min="4" max="4" width="16.42578125" bestFit="1" customWidth="1"/>
    <col min="5" max="5" width="9.5703125" bestFit="1" customWidth="1"/>
    <col min="6" max="6" width="9" bestFit="1" customWidth="1"/>
    <col min="7" max="7" width="12.42578125" bestFit="1" customWidth="1"/>
    <col min="8" max="8" width="11" bestFit="1" customWidth="1"/>
    <col min="9" max="9" width="12" bestFit="1" customWidth="1"/>
    <col min="10" max="10" width="15.5703125" bestFit="1" customWidth="1"/>
  </cols>
  <sheetData>
    <row r="1" spans="1:12">
      <c r="A1" s="2" t="s">
        <v>208</v>
      </c>
      <c r="B1" s="2" t="s">
        <v>195</v>
      </c>
      <c r="C1" s="2" t="s">
        <v>52</v>
      </c>
      <c r="D1" s="2" t="s">
        <v>18</v>
      </c>
      <c r="E1" s="2" t="s">
        <v>16</v>
      </c>
      <c r="F1" s="2" t="s">
        <v>0</v>
      </c>
      <c r="G1" s="2" t="s">
        <v>78</v>
      </c>
      <c r="H1" s="83" t="s">
        <v>209</v>
      </c>
      <c r="I1" s="2" t="s">
        <v>210</v>
      </c>
      <c r="J1" s="2" t="s">
        <v>211</v>
      </c>
    </row>
    <row r="2" spans="1:12">
      <c r="A2" s="70" t="s">
        <v>212</v>
      </c>
      <c r="B2" s="81">
        <v>46027</v>
      </c>
      <c r="C2" s="74" t="s">
        <v>54</v>
      </c>
      <c r="D2" s="74" t="s">
        <v>22</v>
      </c>
      <c r="E2" s="74" t="s">
        <v>20</v>
      </c>
      <c r="F2" s="74" t="s">
        <v>4</v>
      </c>
      <c r="G2" s="74" t="s">
        <v>85</v>
      </c>
      <c r="H2" s="80">
        <v>120</v>
      </c>
      <c r="I2" s="84">
        <v>850</v>
      </c>
      <c r="J2" s="80">
        <f>H2*I2</f>
        <v>102000</v>
      </c>
      <c r="L2" s="2"/>
    </row>
    <row r="3" spans="1:12">
      <c r="A3" s="70" t="s">
        <v>213</v>
      </c>
      <c r="B3" s="81">
        <v>46029</v>
      </c>
      <c r="C3" s="74" t="s">
        <v>56</v>
      </c>
      <c r="D3" s="74" t="s">
        <v>24</v>
      </c>
      <c r="E3" s="74" t="s">
        <v>20</v>
      </c>
      <c r="F3" s="74" t="s">
        <v>4</v>
      </c>
      <c r="G3" s="74" t="s">
        <v>96</v>
      </c>
      <c r="H3" s="80">
        <v>150</v>
      </c>
      <c r="I3" s="84">
        <v>900</v>
      </c>
      <c r="J3" s="80">
        <f t="shared" ref="J3:J66" si="0">H3*I3</f>
        <v>135000</v>
      </c>
      <c r="L3" s="2"/>
    </row>
    <row r="4" spans="1:12">
      <c r="A4" s="70" t="s">
        <v>214</v>
      </c>
      <c r="B4" s="81">
        <v>46031</v>
      </c>
      <c r="C4" s="74" t="s">
        <v>58</v>
      </c>
      <c r="D4" s="74" t="s">
        <v>26</v>
      </c>
      <c r="E4" s="74" t="s">
        <v>20</v>
      </c>
      <c r="F4" s="74" t="s">
        <v>4</v>
      </c>
      <c r="G4" s="74" t="s">
        <v>113</v>
      </c>
      <c r="H4" s="80">
        <v>80</v>
      </c>
      <c r="I4" s="84">
        <v>1450</v>
      </c>
      <c r="J4" s="80">
        <f t="shared" si="0"/>
        <v>116000</v>
      </c>
      <c r="L4" s="2"/>
    </row>
    <row r="5" spans="1:12">
      <c r="A5" s="70" t="s">
        <v>215</v>
      </c>
      <c r="B5" s="81">
        <v>46028</v>
      </c>
      <c r="C5" s="74" t="s">
        <v>60</v>
      </c>
      <c r="D5" s="74" t="s">
        <v>30</v>
      </c>
      <c r="E5" s="74" t="s">
        <v>28</v>
      </c>
      <c r="F5" s="74" t="s">
        <v>8</v>
      </c>
      <c r="G5" s="74" t="s">
        <v>149</v>
      </c>
      <c r="H5" s="80">
        <v>100</v>
      </c>
      <c r="I5" s="84">
        <v>2200</v>
      </c>
      <c r="J5" s="80">
        <f t="shared" si="0"/>
        <v>220000</v>
      </c>
      <c r="L5" s="2"/>
    </row>
    <row r="6" spans="1:12">
      <c r="A6" s="70" t="s">
        <v>216</v>
      </c>
      <c r="B6" s="81">
        <v>46032</v>
      </c>
      <c r="C6" s="74" t="s">
        <v>62</v>
      </c>
      <c r="D6" s="74" t="s">
        <v>32</v>
      </c>
      <c r="E6" s="74" t="s">
        <v>28</v>
      </c>
      <c r="F6" s="74" t="s">
        <v>8</v>
      </c>
      <c r="G6" s="74" t="s">
        <v>156</v>
      </c>
      <c r="H6" s="80">
        <v>90</v>
      </c>
      <c r="I6" s="84">
        <v>2400</v>
      </c>
      <c r="J6" s="80">
        <f t="shared" si="0"/>
        <v>216000</v>
      </c>
      <c r="L6" s="2"/>
    </row>
    <row r="7" spans="1:12">
      <c r="A7" s="70" t="s">
        <v>217</v>
      </c>
      <c r="B7" s="81">
        <v>46036</v>
      </c>
      <c r="C7" s="74" t="s">
        <v>64</v>
      </c>
      <c r="D7" s="74" t="s">
        <v>34</v>
      </c>
      <c r="E7" s="74" t="s">
        <v>28</v>
      </c>
      <c r="F7" s="74" t="s">
        <v>8</v>
      </c>
      <c r="G7" s="74" t="s">
        <v>165</v>
      </c>
      <c r="H7" s="80">
        <v>130</v>
      </c>
      <c r="I7" s="84">
        <v>1250</v>
      </c>
      <c r="J7" s="80">
        <f t="shared" si="0"/>
        <v>162500</v>
      </c>
      <c r="L7" s="2"/>
    </row>
    <row r="8" spans="1:12">
      <c r="A8" s="70" t="s">
        <v>218</v>
      </c>
      <c r="B8" s="81">
        <v>46030</v>
      </c>
      <c r="C8" s="74" t="s">
        <v>66</v>
      </c>
      <c r="D8" s="74" t="s">
        <v>38</v>
      </c>
      <c r="E8" s="74" t="s">
        <v>36</v>
      </c>
      <c r="F8" s="74" t="s">
        <v>11</v>
      </c>
      <c r="G8" s="74" t="s">
        <v>92</v>
      </c>
      <c r="H8" s="80">
        <v>140</v>
      </c>
      <c r="I8" s="84">
        <v>1450</v>
      </c>
      <c r="J8" s="80">
        <f t="shared" si="0"/>
        <v>203000</v>
      </c>
      <c r="L8" s="2"/>
    </row>
    <row r="9" spans="1:12">
      <c r="A9" s="70" t="s">
        <v>219</v>
      </c>
      <c r="B9" s="81">
        <v>46034</v>
      </c>
      <c r="C9" s="74" t="s">
        <v>68</v>
      </c>
      <c r="D9" s="74" t="s">
        <v>40</v>
      </c>
      <c r="E9" s="74" t="s">
        <v>36</v>
      </c>
      <c r="F9" s="74" t="s">
        <v>11</v>
      </c>
      <c r="G9" s="74" t="s">
        <v>117</v>
      </c>
      <c r="H9" s="80">
        <v>75</v>
      </c>
      <c r="I9" s="84">
        <v>2600</v>
      </c>
      <c r="J9" s="80">
        <f t="shared" si="0"/>
        <v>195000</v>
      </c>
      <c r="L9" s="2"/>
    </row>
    <row r="10" spans="1:12">
      <c r="A10" s="70" t="s">
        <v>220</v>
      </c>
      <c r="B10" s="81">
        <v>46040</v>
      </c>
      <c r="C10" s="74" t="s">
        <v>70</v>
      </c>
      <c r="D10" s="74" t="s">
        <v>42</v>
      </c>
      <c r="E10" s="74" t="s">
        <v>36</v>
      </c>
      <c r="F10" s="74" t="s">
        <v>11</v>
      </c>
      <c r="G10" s="74" t="s">
        <v>178</v>
      </c>
      <c r="H10" s="80">
        <v>160</v>
      </c>
      <c r="I10" s="84">
        <v>1100</v>
      </c>
      <c r="J10" s="80">
        <f t="shared" si="0"/>
        <v>176000</v>
      </c>
      <c r="L10" s="2"/>
    </row>
    <row r="11" spans="1:12">
      <c r="A11" s="70" t="s">
        <v>221</v>
      </c>
      <c r="B11" s="81">
        <v>46033</v>
      </c>
      <c r="C11" s="74" t="s">
        <v>72</v>
      </c>
      <c r="D11" s="74" t="s">
        <v>46</v>
      </c>
      <c r="E11" s="74" t="s">
        <v>44</v>
      </c>
      <c r="F11" s="74" t="s">
        <v>14</v>
      </c>
      <c r="G11" s="74" t="s">
        <v>98</v>
      </c>
      <c r="H11" s="80">
        <v>130</v>
      </c>
      <c r="I11" s="84">
        <v>950</v>
      </c>
      <c r="J11" s="80">
        <f t="shared" si="0"/>
        <v>123500</v>
      </c>
      <c r="L11" s="2"/>
    </row>
    <row r="12" spans="1:12">
      <c r="A12" s="74" t="s">
        <v>222</v>
      </c>
      <c r="B12" s="82">
        <v>46038</v>
      </c>
      <c r="C12" s="74" t="s">
        <v>74</v>
      </c>
      <c r="D12" s="74" t="s">
        <v>48</v>
      </c>
      <c r="E12" s="74" t="s">
        <v>44</v>
      </c>
      <c r="F12" s="74" t="s">
        <v>14</v>
      </c>
      <c r="G12" s="74" t="s">
        <v>169</v>
      </c>
      <c r="H12" s="80">
        <v>100</v>
      </c>
      <c r="I12" s="84">
        <v>1200</v>
      </c>
      <c r="J12" s="80">
        <f t="shared" si="0"/>
        <v>120000</v>
      </c>
    </row>
    <row r="13" spans="1:12">
      <c r="A13" s="74" t="s">
        <v>223</v>
      </c>
      <c r="B13" s="82">
        <v>46043</v>
      </c>
      <c r="C13" s="74" t="s">
        <v>76</v>
      </c>
      <c r="D13" s="74" t="s">
        <v>50</v>
      </c>
      <c r="E13" s="74" t="s">
        <v>44</v>
      </c>
      <c r="F13" s="74" t="s">
        <v>14</v>
      </c>
      <c r="G13" s="74" t="s">
        <v>185</v>
      </c>
      <c r="H13" s="80">
        <v>150</v>
      </c>
      <c r="I13" s="84">
        <v>1150</v>
      </c>
      <c r="J13" s="80">
        <f t="shared" si="0"/>
        <v>172500</v>
      </c>
    </row>
    <row r="14" spans="1:12">
      <c r="A14" s="74" t="s">
        <v>224</v>
      </c>
      <c r="B14" s="82">
        <v>46046</v>
      </c>
      <c r="C14" s="74" t="s">
        <v>54</v>
      </c>
      <c r="D14" s="74" t="s">
        <v>22</v>
      </c>
      <c r="E14" s="74" t="s">
        <v>20</v>
      </c>
      <c r="F14" s="74" t="s">
        <v>4</v>
      </c>
      <c r="G14" s="74" t="s">
        <v>92</v>
      </c>
      <c r="H14" s="80">
        <v>100</v>
      </c>
      <c r="I14" s="84">
        <v>1450</v>
      </c>
      <c r="J14" s="80">
        <f t="shared" si="0"/>
        <v>145000</v>
      </c>
    </row>
    <row r="15" spans="1:12">
      <c r="A15" s="74" t="s">
        <v>225</v>
      </c>
      <c r="B15" s="82">
        <v>46049</v>
      </c>
      <c r="C15" s="74" t="s">
        <v>54</v>
      </c>
      <c r="D15" s="74" t="s">
        <v>22</v>
      </c>
      <c r="E15" s="74" t="s">
        <v>20</v>
      </c>
      <c r="F15" s="74" t="s">
        <v>4</v>
      </c>
      <c r="G15" s="74" t="s">
        <v>99</v>
      </c>
      <c r="H15" s="80">
        <v>90</v>
      </c>
      <c r="I15" s="84">
        <v>1150</v>
      </c>
      <c r="J15" s="80">
        <f t="shared" si="0"/>
        <v>103500</v>
      </c>
    </row>
    <row r="16" spans="1:12">
      <c r="A16" s="74" t="s">
        <v>226</v>
      </c>
      <c r="B16" s="82">
        <v>46037</v>
      </c>
      <c r="C16" s="74" t="s">
        <v>56</v>
      </c>
      <c r="D16" s="74" t="s">
        <v>24</v>
      </c>
      <c r="E16" s="74" t="s">
        <v>20</v>
      </c>
      <c r="F16" s="74" t="s">
        <v>4</v>
      </c>
      <c r="G16" s="74" t="s">
        <v>98</v>
      </c>
      <c r="H16" s="80">
        <v>120</v>
      </c>
      <c r="I16" s="84">
        <v>950</v>
      </c>
      <c r="J16" s="80">
        <f t="shared" si="0"/>
        <v>114000</v>
      </c>
    </row>
    <row r="17" spans="1:10">
      <c r="A17" s="74" t="s">
        <v>227</v>
      </c>
      <c r="B17" s="82">
        <v>46051</v>
      </c>
      <c r="C17" s="74" t="s">
        <v>56</v>
      </c>
      <c r="D17" s="74" t="s">
        <v>24</v>
      </c>
      <c r="E17" s="74" t="s">
        <v>20</v>
      </c>
      <c r="F17" s="74" t="s">
        <v>4</v>
      </c>
      <c r="G17" s="74" t="s">
        <v>125</v>
      </c>
      <c r="H17" s="80">
        <v>70</v>
      </c>
      <c r="I17" s="84">
        <v>1800</v>
      </c>
      <c r="J17" s="80">
        <f t="shared" si="0"/>
        <v>126000</v>
      </c>
    </row>
    <row r="18" spans="1:10">
      <c r="A18" s="74" t="s">
        <v>228</v>
      </c>
      <c r="B18" s="82">
        <v>46042</v>
      </c>
      <c r="C18" s="74" t="s">
        <v>58</v>
      </c>
      <c r="D18" s="74" t="s">
        <v>26</v>
      </c>
      <c r="E18" s="74" t="s">
        <v>20</v>
      </c>
      <c r="F18" s="74" t="s">
        <v>4</v>
      </c>
      <c r="G18" s="74" t="s">
        <v>119</v>
      </c>
      <c r="H18" s="80">
        <v>85</v>
      </c>
      <c r="I18" s="84">
        <v>1650</v>
      </c>
      <c r="J18" s="80">
        <f t="shared" si="0"/>
        <v>140250</v>
      </c>
    </row>
    <row r="19" spans="1:10">
      <c r="A19" s="74" t="s">
        <v>229</v>
      </c>
      <c r="B19" s="82">
        <v>46052</v>
      </c>
      <c r="C19" s="74" t="s">
        <v>58</v>
      </c>
      <c r="D19" s="74" t="s">
        <v>26</v>
      </c>
      <c r="E19" s="74" t="s">
        <v>20</v>
      </c>
      <c r="F19" s="74" t="s">
        <v>4</v>
      </c>
      <c r="G19" s="74" t="s">
        <v>134</v>
      </c>
      <c r="H19" s="80">
        <v>110</v>
      </c>
      <c r="I19" s="84">
        <v>1050</v>
      </c>
      <c r="J19" s="80">
        <f t="shared" si="0"/>
        <v>115500</v>
      </c>
    </row>
    <row r="20" spans="1:10">
      <c r="A20" s="74" t="s">
        <v>230</v>
      </c>
      <c r="B20" s="82">
        <v>46044</v>
      </c>
      <c r="C20" s="74" t="s">
        <v>60</v>
      </c>
      <c r="D20" s="74" t="s">
        <v>30</v>
      </c>
      <c r="E20" s="74" t="s">
        <v>28</v>
      </c>
      <c r="F20" s="74" t="s">
        <v>8</v>
      </c>
      <c r="G20" s="74" t="s">
        <v>154</v>
      </c>
      <c r="H20" s="80">
        <v>80</v>
      </c>
      <c r="I20" s="84">
        <v>3100</v>
      </c>
      <c r="J20" s="80">
        <f t="shared" si="0"/>
        <v>248000</v>
      </c>
    </row>
    <row r="21" spans="1:10">
      <c r="A21" s="74" t="s">
        <v>231</v>
      </c>
      <c r="B21" s="82">
        <v>46050</v>
      </c>
      <c r="C21" s="74" t="s">
        <v>60</v>
      </c>
      <c r="D21" s="74" t="s">
        <v>30</v>
      </c>
      <c r="E21" s="74" t="s">
        <v>28</v>
      </c>
      <c r="F21" s="74" t="s">
        <v>8</v>
      </c>
      <c r="G21" s="74" t="s">
        <v>168</v>
      </c>
      <c r="H21" s="80">
        <v>120</v>
      </c>
      <c r="I21" s="84">
        <v>1500</v>
      </c>
      <c r="J21" s="80">
        <f t="shared" si="0"/>
        <v>180000</v>
      </c>
    </row>
    <row r="22" spans="1:10">
      <c r="A22" s="74" t="s">
        <v>232</v>
      </c>
      <c r="B22" s="82">
        <v>46041</v>
      </c>
      <c r="C22" s="74" t="s">
        <v>62</v>
      </c>
      <c r="D22" s="74" t="s">
        <v>32</v>
      </c>
      <c r="E22" s="74" t="s">
        <v>28</v>
      </c>
      <c r="F22" s="74" t="s">
        <v>8</v>
      </c>
      <c r="G22" s="74" t="s">
        <v>158</v>
      </c>
      <c r="H22" s="80">
        <v>75</v>
      </c>
      <c r="I22" s="84">
        <v>3300</v>
      </c>
      <c r="J22" s="80">
        <f t="shared" si="0"/>
        <v>247500</v>
      </c>
    </row>
    <row r="23" spans="1:10">
      <c r="A23" s="74" t="s">
        <v>233</v>
      </c>
      <c r="B23" s="82">
        <v>46053</v>
      </c>
      <c r="C23" s="74" t="s">
        <v>62</v>
      </c>
      <c r="D23" s="74" t="s">
        <v>32</v>
      </c>
      <c r="E23" s="74" t="s">
        <v>28</v>
      </c>
      <c r="F23" s="74" t="s">
        <v>8</v>
      </c>
      <c r="G23" s="74" t="s">
        <v>183</v>
      </c>
      <c r="H23" s="80">
        <v>130</v>
      </c>
      <c r="I23" s="84">
        <v>1250</v>
      </c>
      <c r="J23" s="80">
        <f t="shared" si="0"/>
        <v>162500</v>
      </c>
    </row>
    <row r="24" spans="1:10">
      <c r="A24" s="74" t="s">
        <v>234</v>
      </c>
      <c r="B24" s="82">
        <v>46039</v>
      </c>
      <c r="C24" s="74" t="s">
        <v>64</v>
      </c>
      <c r="D24" s="74" t="s">
        <v>34</v>
      </c>
      <c r="E24" s="74" t="s">
        <v>28</v>
      </c>
      <c r="F24" s="74" t="s">
        <v>8</v>
      </c>
      <c r="G24" s="74" t="s">
        <v>171</v>
      </c>
      <c r="H24" s="80">
        <v>100</v>
      </c>
      <c r="I24" s="84">
        <v>1400</v>
      </c>
      <c r="J24" s="80">
        <f t="shared" si="0"/>
        <v>140000</v>
      </c>
    </row>
    <row r="25" spans="1:10">
      <c r="A25" s="74" t="s">
        <v>235</v>
      </c>
      <c r="B25" s="82">
        <v>46048</v>
      </c>
      <c r="C25" s="74" t="s">
        <v>64</v>
      </c>
      <c r="D25" s="74" t="s">
        <v>34</v>
      </c>
      <c r="E25" s="74" t="s">
        <v>28</v>
      </c>
      <c r="F25" s="74" t="s">
        <v>8</v>
      </c>
      <c r="G25" s="74" t="s">
        <v>187</v>
      </c>
      <c r="H25" s="80">
        <v>120</v>
      </c>
      <c r="I25" s="84">
        <v>1350</v>
      </c>
      <c r="J25" s="80">
        <f t="shared" si="0"/>
        <v>162000</v>
      </c>
    </row>
    <row r="26" spans="1:10">
      <c r="A26" s="74" t="s">
        <v>236</v>
      </c>
      <c r="B26" s="82">
        <v>46045</v>
      </c>
      <c r="C26" s="74" t="s">
        <v>66</v>
      </c>
      <c r="D26" s="74" t="s">
        <v>38</v>
      </c>
      <c r="E26" s="74" t="s">
        <v>36</v>
      </c>
      <c r="F26" s="74" t="s">
        <v>11</v>
      </c>
      <c r="G26" s="74" t="s">
        <v>94</v>
      </c>
      <c r="H26" s="80">
        <v>90</v>
      </c>
      <c r="I26" s="84">
        <v>2700</v>
      </c>
      <c r="J26" s="80">
        <f t="shared" si="0"/>
        <v>243000</v>
      </c>
    </row>
    <row r="27" spans="1:10">
      <c r="A27" s="74" t="s">
        <v>237</v>
      </c>
      <c r="B27" s="82">
        <v>46052</v>
      </c>
      <c r="C27" s="74" t="s">
        <v>66</v>
      </c>
      <c r="D27" s="74" t="s">
        <v>38</v>
      </c>
      <c r="E27" s="74" t="s">
        <v>36</v>
      </c>
      <c r="F27" s="74" t="s">
        <v>11</v>
      </c>
      <c r="G27" s="74" t="s">
        <v>129</v>
      </c>
      <c r="H27" s="80">
        <v>80</v>
      </c>
      <c r="I27" s="84">
        <v>2400</v>
      </c>
      <c r="J27" s="80">
        <f t="shared" si="0"/>
        <v>192000</v>
      </c>
    </row>
    <row r="28" spans="1:10">
      <c r="A28" s="74" t="s">
        <v>238</v>
      </c>
      <c r="B28" s="82">
        <v>46047</v>
      </c>
      <c r="C28" s="74" t="s">
        <v>68</v>
      </c>
      <c r="D28" s="74" t="s">
        <v>40</v>
      </c>
      <c r="E28" s="74" t="s">
        <v>36</v>
      </c>
      <c r="F28" s="74" t="s">
        <v>11</v>
      </c>
      <c r="G28" s="74" t="s">
        <v>121</v>
      </c>
      <c r="H28" s="80">
        <v>75</v>
      </c>
      <c r="I28" s="84">
        <v>1800</v>
      </c>
      <c r="J28" s="80">
        <f t="shared" si="0"/>
        <v>135000</v>
      </c>
    </row>
    <row r="29" spans="1:10">
      <c r="A29" s="74" t="s">
        <v>239</v>
      </c>
      <c r="B29" s="82">
        <v>46051</v>
      </c>
      <c r="C29" s="74" t="s">
        <v>68</v>
      </c>
      <c r="D29" s="74" t="s">
        <v>40</v>
      </c>
      <c r="E29" s="74" t="s">
        <v>36</v>
      </c>
      <c r="F29" s="74" t="s">
        <v>11</v>
      </c>
      <c r="G29" s="74" t="s">
        <v>160</v>
      </c>
      <c r="H29" s="80">
        <v>90</v>
      </c>
      <c r="I29" s="84">
        <v>2900</v>
      </c>
      <c r="J29" s="80">
        <f t="shared" si="0"/>
        <v>261000</v>
      </c>
    </row>
    <row r="30" spans="1:10">
      <c r="A30" s="74" t="s">
        <v>240</v>
      </c>
      <c r="B30" s="82">
        <v>46042</v>
      </c>
      <c r="C30" s="74" t="s">
        <v>70</v>
      </c>
      <c r="D30" s="74" t="s">
        <v>42</v>
      </c>
      <c r="E30" s="74" t="s">
        <v>36</v>
      </c>
      <c r="F30" s="74" t="s">
        <v>11</v>
      </c>
      <c r="G30" s="74" t="s">
        <v>183</v>
      </c>
      <c r="H30" s="80">
        <v>140</v>
      </c>
      <c r="I30" s="84">
        <v>1250</v>
      </c>
      <c r="J30" s="80">
        <f t="shared" si="0"/>
        <v>175000</v>
      </c>
    </row>
    <row r="31" spans="1:10">
      <c r="A31" s="74" t="s">
        <v>241</v>
      </c>
      <c r="B31" s="82">
        <v>46049</v>
      </c>
      <c r="C31" s="74" t="s">
        <v>70</v>
      </c>
      <c r="D31" s="74" t="s">
        <v>42</v>
      </c>
      <c r="E31" s="74" t="s">
        <v>36</v>
      </c>
      <c r="F31" s="74" t="s">
        <v>11</v>
      </c>
      <c r="G31" s="74" t="s">
        <v>188</v>
      </c>
      <c r="H31" s="80">
        <v>100</v>
      </c>
      <c r="I31" s="84">
        <v>1050</v>
      </c>
      <c r="J31" s="80">
        <f t="shared" si="0"/>
        <v>105000</v>
      </c>
    </row>
    <row r="32" spans="1:10">
      <c r="A32" s="74" t="s">
        <v>242</v>
      </c>
      <c r="B32" s="82">
        <v>46046</v>
      </c>
      <c r="C32" s="74" t="s">
        <v>72</v>
      </c>
      <c r="D32" s="74" t="s">
        <v>46</v>
      </c>
      <c r="E32" s="74" t="s">
        <v>44</v>
      </c>
      <c r="F32" s="74" t="s">
        <v>14</v>
      </c>
      <c r="G32" s="74" t="s">
        <v>101</v>
      </c>
      <c r="H32" s="80">
        <v>110</v>
      </c>
      <c r="I32" s="84">
        <v>1200</v>
      </c>
      <c r="J32" s="80">
        <f t="shared" si="0"/>
        <v>132000</v>
      </c>
    </row>
    <row r="33" spans="1:10">
      <c r="A33" s="74" t="s">
        <v>243</v>
      </c>
      <c r="B33" s="82">
        <v>46050</v>
      </c>
      <c r="C33" s="74" t="s">
        <v>72</v>
      </c>
      <c r="D33" s="74" t="s">
        <v>46</v>
      </c>
      <c r="E33" s="74" t="s">
        <v>44</v>
      </c>
      <c r="F33" s="74" t="s">
        <v>14</v>
      </c>
      <c r="G33" s="74" t="s">
        <v>144</v>
      </c>
      <c r="H33" s="80">
        <v>80</v>
      </c>
      <c r="I33" s="84">
        <v>1550</v>
      </c>
      <c r="J33" s="80">
        <f t="shared" si="0"/>
        <v>124000</v>
      </c>
    </row>
    <row r="34" spans="1:10">
      <c r="A34" s="74" t="s">
        <v>244</v>
      </c>
      <c r="B34" s="82">
        <v>46040</v>
      </c>
      <c r="C34" s="74" t="s">
        <v>74</v>
      </c>
      <c r="D34" s="74" t="s">
        <v>48</v>
      </c>
      <c r="E34" s="74" t="s">
        <v>44</v>
      </c>
      <c r="F34" s="74" t="s">
        <v>14</v>
      </c>
      <c r="G34" s="74" t="s">
        <v>172</v>
      </c>
      <c r="H34" s="80">
        <v>90</v>
      </c>
      <c r="I34" s="84">
        <v>1300</v>
      </c>
      <c r="J34" s="80">
        <f t="shared" si="0"/>
        <v>117000</v>
      </c>
    </row>
    <row r="35" spans="1:10">
      <c r="A35" s="74" t="s">
        <v>245</v>
      </c>
      <c r="B35" s="82">
        <v>46052</v>
      </c>
      <c r="C35" s="74" t="s">
        <v>74</v>
      </c>
      <c r="D35" s="74" t="s">
        <v>48</v>
      </c>
      <c r="E35" s="74" t="s">
        <v>44</v>
      </c>
      <c r="F35" s="74" t="s">
        <v>14</v>
      </c>
      <c r="G35" s="74" t="s">
        <v>191</v>
      </c>
      <c r="H35" s="80">
        <v>120</v>
      </c>
      <c r="I35" s="84">
        <v>1250</v>
      </c>
      <c r="J35" s="80">
        <f t="shared" si="0"/>
        <v>150000</v>
      </c>
    </row>
    <row r="36" spans="1:10">
      <c r="A36" s="74" t="s">
        <v>246</v>
      </c>
      <c r="B36" s="82">
        <v>46044</v>
      </c>
      <c r="C36" s="74" t="s">
        <v>76</v>
      </c>
      <c r="D36" s="74" t="s">
        <v>50</v>
      </c>
      <c r="E36" s="74" t="s">
        <v>44</v>
      </c>
      <c r="F36" s="74" t="s">
        <v>14</v>
      </c>
      <c r="G36" s="74" t="s">
        <v>102</v>
      </c>
      <c r="H36" s="80">
        <v>100</v>
      </c>
      <c r="I36" s="84">
        <v>1100</v>
      </c>
      <c r="J36" s="80">
        <f t="shared" si="0"/>
        <v>110000</v>
      </c>
    </row>
    <row r="37" spans="1:10">
      <c r="A37" s="74" t="s">
        <v>247</v>
      </c>
      <c r="B37" s="82">
        <v>46053</v>
      </c>
      <c r="C37" s="74" t="s">
        <v>76</v>
      </c>
      <c r="D37" s="74" t="s">
        <v>50</v>
      </c>
      <c r="E37" s="74" t="s">
        <v>44</v>
      </c>
      <c r="F37" s="74" t="s">
        <v>14</v>
      </c>
      <c r="G37" s="74" t="s">
        <v>193</v>
      </c>
      <c r="H37" s="80">
        <v>90</v>
      </c>
      <c r="I37" s="84">
        <v>1350</v>
      </c>
      <c r="J37" s="80">
        <f t="shared" si="0"/>
        <v>121500</v>
      </c>
    </row>
    <row r="38" spans="1:10">
      <c r="A38" s="74" t="s">
        <v>248</v>
      </c>
      <c r="B38" s="82">
        <v>46057</v>
      </c>
      <c r="C38" s="74" t="s">
        <v>54</v>
      </c>
      <c r="D38" s="74" t="s">
        <v>22</v>
      </c>
      <c r="E38" s="74" t="s">
        <v>20</v>
      </c>
      <c r="F38" s="74" t="s">
        <v>4</v>
      </c>
      <c r="G38" s="74" t="s">
        <v>85</v>
      </c>
      <c r="H38" s="80">
        <v>130</v>
      </c>
      <c r="I38" s="84">
        <v>850</v>
      </c>
      <c r="J38" s="80">
        <f t="shared" si="0"/>
        <v>110500</v>
      </c>
    </row>
    <row r="39" spans="1:10">
      <c r="A39" s="74" t="s">
        <v>249</v>
      </c>
      <c r="B39" s="82">
        <v>46061</v>
      </c>
      <c r="C39" s="74" t="s">
        <v>54</v>
      </c>
      <c r="D39" s="74" t="s">
        <v>22</v>
      </c>
      <c r="E39" s="74" t="s">
        <v>20</v>
      </c>
      <c r="F39" s="74" t="s">
        <v>4</v>
      </c>
      <c r="G39" s="74" t="s">
        <v>96</v>
      </c>
      <c r="H39" s="80">
        <v>140</v>
      </c>
      <c r="I39" s="84">
        <v>900</v>
      </c>
      <c r="J39" s="80">
        <f t="shared" si="0"/>
        <v>126000</v>
      </c>
    </row>
    <row r="40" spans="1:10">
      <c r="A40" s="74" t="s">
        <v>250</v>
      </c>
      <c r="B40" s="82">
        <v>46065</v>
      </c>
      <c r="C40" s="74" t="s">
        <v>56</v>
      </c>
      <c r="D40" s="74" t="s">
        <v>24</v>
      </c>
      <c r="E40" s="74" t="s">
        <v>20</v>
      </c>
      <c r="F40" s="74" t="s">
        <v>4</v>
      </c>
      <c r="G40" s="74" t="s">
        <v>92</v>
      </c>
      <c r="H40" s="80">
        <v>110</v>
      </c>
      <c r="I40" s="84">
        <v>1450</v>
      </c>
      <c r="J40" s="80">
        <f t="shared" si="0"/>
        <v>159500</v>
      </c>
    </row>
    <row r="41" spans="1:10">
      <c r="A41" s="74" t="s">
        <v>251</v>
      </c>
      <c r="B41" s="82">
        <v>46071</v>
      </c>
      <c r="C41" s="74" t="s">
        <v>56</v>
      </c>
      <c r="D41" s="74" t="s">
        <v>24</v>
      </c>
      <c r="E41" s="74" t="s">
        <v>20</v>
      </c>
      <c r="F41" s="74" t="s">
        <v>4</v>
      </c>
      <c r="G41" s="74" t="s">
        <v>125</v>
      </c>
      <c r="H41" s="80">
        <v>80</v>
      </c>
      <c r="I41" s="84">
        <v>1800</v>
      </c>
      <c r="J41" s="80">
        <f t="shared" si="0"/>
        <v>144000</v>
      </c>
    </row>
    <row r="42" spans="1:10">
      <c r="A42" s="74" t="s">
        <v>252</v>
      </c>
      <c r="B42" s="82">
        <v>46060</v>
      </c>
      <c r="C42" s="74" t="s">
        <v>58</v>
      </c>
      <c r="D42" s="74" t="s">
        <v>26</v>
      </c>
      <c r="E42" s="74" t="s">
        <v>20</v>
      </c>
      <c r="F42" s="74" t="s">
        <v>4</v>
      </c>
      <c r="G42" s="74" t="s">
        <v>113</v>
      </c>
      <c r="H42" s="80">
        <v>90</v>
      </c>
      <c r="I42" s="84">
        <v>1450</v>
      </c>
      <c r="J42" s="80">
        <f t="shared" si="0"/>
        <v>130500</v>
      </c>
    </row>
    <row r="43" spans="1:10">
      <c r="A43" s="74" t="s">
        <v>253</v>
      </c>
      <c r="B43" s="82">
        <v>46074</v>
      </c>
      <c r="C43" s="74" t="s">
        <v>58</v>
      </c>
      <c r="D43" s="74" t="s">
        <v>26</v>
      </c>
      <c r="E43" s="74" t="s">
        <v>20</v>
      </c>
      <c r="F43" s="74" t="s">
        <v>4</v>
      </c>
      <c r="G43" s="74" t="s">
        <v>119</v>
      </c>
      <c r="H43" s="80">
        <v>95</v>
      </c>
      <c r="I43" s="84">
        <v>1650</v>
      </c>
      <c r="J43" s="80">
        <f t="shared" si="0"/>
        <v>156750</v>
      </c>
    </row>
    <row r="44" spans="1:10">
      <c r="A44" s="74" t="s">
        <v>254</v>
      </c>
      <c r="B44" s="82">
        <v>46058</v>
      </c>
      <c r="C44" s="74" t="s">
        <v>60</v>
      </c>
      <c r="D44" s="74" t="s">
        <v>30</v>
      </c>
      <c r="E44" s="74" t="s">
        <v>28</v>
      </c>
      <c r="F44" s="74" t="s">
        <v>8</v>
      </c>
      <c r="G44" s="74" t="s">
        <v>149</v>
      </c>
      <c r="H44" s="80">
        <v>110</v>
      </c>
      <c r="I44" s="84">
        <v>2200</v>
      </c>
      <c r="J44" s="80">
        <f t="shared" si="0"/>
        <v>242000</v>
      </c>
    </row>
    <row r="45" spans="1:10">
      <c r="A45" s="74" t="s">
        <v>255</v>
      </c>
      <c r="B45" s="82">
        <v>46069</v>
      </c>
      <c r="C45" s="74" t="s">
        <v>60</v>
      </c>
      <c r="D45" s="74" t="s">
        <v>30</v>
      </c>
      <c r="E45" s="74" t="s">
        <v>28</v>
      </c>
      <c r="F45" s="74" t="s">
        <v>8</v>
      </c>
      <c r="G45" s="74" t="s">
        <v>154</v>
      </c>
      <c r="H45" s="80">
        <v>85</v>
      </c>
      <c r="I45" s="84">
        <v>3100</v>
      </c>
      <c r="J45" s="80">
        <f t="shared" si="0"/>
        <v>263500</v>
      </c>
    </row>
    <row r="46" spans="1:10">
      <c r="A46" s="74" t="s">
        <v>256</v>
      </c>
      <c r="B46" s="82">
        <v>46063</v>
      </c>
      <c r="C46" s="74" t="s">
        <v>62</v>
      </c>
      <c r="D46" s="74" t="s">
        <v>32</v>
      </c>
      <c r="E46" s="74" t="s">
        <v>28</v>
      </c>
      <c r="F46" s="74" t="s">
        <v>8</v>
      </c>
      <c r="G46" s="74" t="s">
        <v>156</v>
      </c>
      <c r="H46" s="80">
        <v>100</v>
      </c>
      <c r="I46" s="84">
        <v>2400</v>
      </c>
      <c r="J46" s="80">
        <f t="shared" si="0"/>
        <v>240000</v>
      </c>
    </row>
    <row r="47" spans="1:10">
      <c r="A47" s="74" t="s">
        <v>257</v>
      </c>
      <c r="B47" s="82">
        <v>46077</v>
      </c>
      <c r="C47" s="74" t="s">
        <v>62</v>
      </c>
      <c r="D47" s="74" t="s">
        <v>32</v>
      </c>
      <c r="E47" s="74" t="s">
        <v>28</v>
      </c>
      <c r="F47" s="74" t="s">
        <v>8</v>
      </c>
      <c r="G47" s="74" t="s">
        <v>158</v>
      </c>
      <c r="H47" s="80">
        <v>80</v>
      </c>
      <c r="I47" s="84">
        <v>3300</v>
      </c>
      <c r="J47" s="80">
        <f t="shared" si="0"/>
        <v>264000</v>
      </c>
    </row>
    <row r="48" spans="1:10">
      <c r="A48" s="74" t="s">
        <v>258</v>
      </c>
      <c r="B48" s="82">
        <v>46062</v>
      </c>
      <c r="C48" s="74" t="s">
        <v>64</v>
      </c>
      <c r="D48" s="74" t="s">
        <v>34</v>
      </c>
      <c r="E48" s="74" t="s">
        <v>28</v>
      </c>
      <c r="F48" s="74" t="s">
        <v>8</v>
      </c>
      <c r="G48" s="74" t="s">
        <v>165</v>
      </c>
      <c r="H48" s="80">
        <v>140</v>
      </c>
      <c r="I48" s="84">
        <v>1250</v>
      </c>
      <c r="J48" s="80">
        <f t="shared" si="0"/>
        <v>175000</v>
      </c>
    </row>
    <row r="49" spans="1:10">
      <c r="A49" s="74" t="s">
        <v>259</v>
      </c>
      <c r="B49" s="82">
        <v>46079</v>
      </c>
      <c r="C49" s="74" t="s">
        <v>64</v>
      </c>
      <c r="D49" s="74" t="s">
        <v>34</v>
      </c>
      <c r="E49" s="74" t="s">
        <v>28</v>
      </c>
      <c r="F49" s="74" t="s">
        <v>8</v>
      </c>
      <c r="G49" s="74" t="s">
        <v>171</v>
      </c>
      <c r="H49" s="80">
        <v>110</v>
      </c>
      <c r="I49" s="84">
        <v>1400</v>
      </c>
      <c r="J49" s="80">
        <f t="shared" si="0"/>
        <v>154000</v>
      </c>
    </row>
    <row r="50" spans="1:10">
      <c r="A50" s="74" t="s">
        <v>260</v>
      </c>
      <c r="B50" s="82">
        <v>46059</v>
      </c>
      <c r="C50" s="74" t="s">
        <v>66</v>
      </c>
      <c r="D50" s="74" t="s">
        <v>38</v>
      </c>
      <c r="E50" s="74" t="s">
        <v>36</v>
      </c>
      <c r="F50" s="74" t="s">
        <v>11</v>
      </c>
      <c r="G50" s="74" t="s">
        <v>94</v>
      </c>
      <c r="H50" s="80">
        <v>100</v>
      </c>
      <c r="I50" s="84">
        <v>2700</v>
      </c>
      <c r="J50" s="80">
        <f t="shared" si="0"/>
        <v>270000</v>
      </c>
    </row>
    <row r="51" spans="1:10">
      <c r="A51" s="74" t="s">
        <v>261</v>
      </c>
      <c r="B51" s="82">
        <v>46073</v>
      </c>
      <c r="C51" s="74" t="s">
        <v>66</v>
      </c>
      <c r="D51" s="74" t="s">
        <v>38</v>
      </c>
      <c r="E51" s="74" t="s">
        <v>36</v>
      </c>
      <c r="F51" s="74" t="s">
        <v>11</v>
      </c>
      <c r="G51" s="74" t="s">
        <v>129</v>
      </c>
      <c r="H51" s="80">
        <v>90</v>
      </c>
      <c r="I51" s="84">
        <v>2400</v>
      </c>
      <c r="J51" s="80">
        <f t="shared" si="0"/>
        <v>216000</v>
      </c>
    </row>
    <row r="52" spans="1:10">
      <c r="A52" s="74" t="s">
        <v>262</v>
      </c>
      <c r="B52" s="82">
        <v>46064</v>
      </c>
      <c r="C52" s="74" t="s">
        <v>68</v>
      </c>
      <c r="D52" s="74" t="s">
        <v>40</v>
      </c>
      <c r="E52" s="74" t="s">
        <v>36</v>
      </c>
      <c r="F52" s="74" t="s">
        <v>11</v>
      </c>
      <c r="G52" s="74" t="s">
        <v>117</v>
      </c>
      <c r="H52" s="80">
        <v>85</v>
      </c>
      <c r="I52" s="84">
        <v>2600</v>
      </c>
      <c r="J52" s="80">
        <f t="shared" si="0"/>
        <v>221000</v>
      </c>
    </row>
    <row r="53" spans="1:10">
      <c r="A53" s="74" t="s">
        <v>263</v>
      </c>
      <c r="B53" s="82">
        <v>46076</v>
      </c>
      <c r="C53" s="74" t="s">
        <v>68</v>
      </c>
      <c r="D53" s="74" t="s">
        <v>40</v>
      </c>
      <c r="E53" s="74" t="s">
        <v>36</v>
      </c>
      <c r="F53" s="74" t="s">
        <v>11</v>
      </c>
      <c r="G53" s="74" t="s">
        <v>160</v>
      </c>
      <c r="H53" s="80">
        <v>95</v>
      </c>
      <c r="I53" s="84">
        <v>2900</v>
      </c>
      <c r="J53" s="80">
        <f t="shared" si="0"/>
        <v>275500</v>
      </c>
    </row>
    <row r="54" spans="1:10">
      <c r="A54" s="74" t="s">
        <v>264</v>
      </c>
      <c r="B54" s="82">
        <v>46066</v>
      </c>
      <c r="C54" s="74" t="s">
        <v>70</v>
      </c>
      <c r="D54" s="74" t="s">
        <v>42</v>
      </c>
      <c r="E54" s="74" t="s">
        <v>36</v>
      </c>
      <c r="F54" s="74" t="s">
        <v>11</v>
      </c>
      <c r="G54" s="74" t="s">
        <v>178</v>
      </c>
      <c r="H54" s="80">
        <v>170</v>
      </c>
      <c r="I54" s="84">
        <v>1100</v>
      </c>
      <c r="J54" s="80">
        <f t="shared" si="0"/>
        <v>187000</v>
      </c>
    </row>
    <row r="55" spans="1:10">
      <c r="A55" s="74" t="s">
        <v>265</v>
      </c>
      <c r="B55" s="82">
        <v>46080</v>
      </c>
      <c r="C55" s="74" t="s">
        <v>70</v>
      </c>
      <c r="D55" s="74" t="s">
        <v>42</v>
      </c>
      <c r="E55" s="74" t="s">
        <v>36</v>
      </c>
      <c r="F55" s="74" t="s">
        <v>11</v>
      </c>
      <c r="G55" s="74" t="s">
        <v>188</v>
      </c>
      <c r="H55" s="80">
        <v>110</v>
      </c>
      <c r="I55" s="84">
        <v>1050</v>
      </c>
      <c r="J55" s="80">
        <f t="shared" si="0"/>
        <v>115500</v>
      </c>
    </row>
    <row r="56" spans="1:10">
      <c r="A56" s="74" t="s">
        <v>266</v>
      </c>
      <c r="B56" s="82">
        <v>46061</v>
      </c>
      <c r="C56" s="74" t="s">
        <v>72</v>
      </c>
      <c r="D56" s="74" t="s">
        <v>46</v>
      </c>
      <c r="E56" s="74" t="s">
        <v>44</v>
      </c>
      <c r="F56" s="74" t="s">
        <v>14</v>
      </c>
      <c r="G56" s="74" t="s">
        <v>98</v>
      </c>
      <c r="H56" s="80">
        <v>140</v>
      </c>
      <c r="I56" s="84">
        <v>950</v>
      </c>
      <c r="J56" s="80">
        <f t="shared" si="0"/>
        <v>133000</v>
      </c>
    </row>
    <row r="57" spans="1:10">
      <c r="A57" s="74" t="s">
        <v>267</v>
      </c>
      <c r="B57" s="82">
        <v>46072</v>
      </c>
      <c r="C57" s="74" t="s">
        <v>72</v>
      </c>
      <c r="D57" s="74" t="s">
        <v>46</v>
      </c>
      <c r="E57" s="74" t="s">
        <v>44</v>
      </c>
      <c r="F57" s="74" t="s">
        <v>14</v>
      </c>
      <c r="G57" s="74" t="s">
        <v>144</v>
      </c>
      <c r="H57" s="80">
        <v>90</v>
      </c>
      <c r="I57" s="84">
        <v>1550</v>
      </c>
      <c r="J57" s="80">
        <f t="shared" si="0"/>
        <v>139500</v>
      </c>
    </row>
    <row r="58" spans="1:10">
      <c r="A58" s="74" t="s">
        <v>268</v>
      </c>
      <c r="B58" s="82">
        <v>46067</v>
      </c>
      <c r="C58" s="74" t="s">
        <v>74</v>
      </c>
      <c r="D58" s="74" t="s">
        <v>48</v>
      </c>
      <c r="E58" s="74" t="s">
        <v>44</v>
      </c>
      <c r="F58" s="74" t="s">
        <v>14</v>
      </c>
      <c r="G58" s="74" t="s">
        <v>169</v>
      </c>
      <c r="H58" s="80">
        <v>110</v>
      </c>
      <c r="I58" s="84">
        <v>1200</v>
      </c>
      <c r="J58" s="80">
        <f t="shared" si="0"/>
        <v>132000</v>
      </c>
    </row>
    <row r="59" spans="1:10">
      <c r="A59" s="74" t="s">
        <v>269</v>
      </c>
      <c r="B59" s="82">
        <v>46078</v>
      </c>
      <c r="C59" s="74" t="s">
        <v>74</v>
      </c>
      <c r="D59" s="74" t="s">
        <v>48</v>
      </c>
      <c r="E59" s="74" t="s">
        <v>44</v>
      </c>
      <c r="F59" s="74" t="s">
        <v>14</v>
      </c>
      <c r="G59" s="74" t="s">
        <v>191</v>
      </c>
      <c r="H59" s="80">
        <v>130</v>
      </c>
      <c r="I59" s="84">
        <v>1250</v>
      </c>
      <c r="J59" s="80">
        <f t="shared" si="0"/>
        <v>162500</v>
      </c>
    </row>
    <row r="60" spans="1:10">
      <c r="A60" s="74" t="s">
        <v>270</v>
      </c>
      <c r="B60" s="82">
        <v>46059</v>
      </c>
      <c r="C60" s="74" t="s">
        <v>76</v>
      </c>
      <c r="D60" s="74" t="s">
        <v>50</v>
      </c>
      <c r="E60" s="74" t="s">
        <v>44</v>
      </c>
      <c r="F60" s="74" t="s">
        <v>14</v>
      </c>
      <c r="G60" s="74" t="s">
        <v>102</v>
      </c>
      <c r="H60" s="80">
        <v>110</v>
      </c>
      <c r="I60" s="84">
        <v>1100</v>
      </c>
      <c r="J60" s="80">
        <f t="shared" si="0"/>
        <v>121000</v>
      </c>
    </row>
    <row r="61" spans="1:10">
      <c r="A61" s="74" t="s">
        <v>271</v>
      </c>
      <c r="B61" s="82">
        <v>46075</v>
      </c>
      <c r="C61" s="74" t="s">
        <v>76</v>
      </c>
      <c r="D61" s="74" t="s">
        <v>50</v>
      </c>
      <c r="E61" s="74" t="s">
        <v>44</v>
      </c>
      <c r="F61" s="74" t="s">
        <v>14</v>
      </c>
      <c r="G61" s="74" t="s">
        <v>193</v>
      </c>
      <c r="H61" s="80">
        <v>100</v>
      </c>
      <c r="I61" s="84">
        <v>1350</v>
      </c>
      <c r="J61" s="80">
        <f t="shared" si="0"/>
        <v>135000</v>
      </c>
    </row>
    <row r="62" spans="1:10">
      <c r="A62" s="74" t="s">
        <v>272</v>
      </c>
      <c r="B62" s="82">
        <v>46085</v>
      </c>
      <c r="C62" s="74" t="s">
        <v>54</v>
      </c>
      <c r="D62" s="74" t="s">
        <v>22</v>
      </c>
      <c r="E62" s="74" t="s">
        <v>20</v>
      </c>
      <c r="F62" s="74" t="s">
        <v>4</v>
      </c>
      <c r="G62" s="74" t="s">
        <v>85</v>
      </c>
      <c r="H62" s="80">
        <v>145</v>
      </c>
      <c r="I62" s="84">
        <v>850</v>
      </c>
      <c r="J62" s="80">
        <f t="shared" si="0"/>
        <v>123250</v>
      </c>
    </row>
    <row r="63" spans="1:10">
      <c r="A63" s="74" t="s">
        <v>273</v>
      </c>
      <c r="B63" s="82">
        <v>46092</v>
      </c>
      <c r="C63" s="74" t="s">
        <v>54</v>
      </c>
      <c r="D63" s="74" t="s">
        <v>22</v>
      </c>
      <c r="E63" s="74" t="s">
        <v>20</v>
      </c>
      <c r="F63" s="74" t="s">
        <v>4</v>
      </c>
      <c r="G63" s="74" t="s">
        <v>99</v>
      </c>
      <c r="H63" s="80">
        <v>100</v>
      </c>
      <c r="I63" s="84">
        <v>1150</v>
      </c>
      <c r="J63" s="80">
        <f t="shared" si="0"/>
        <v>115000</v>
      </c>
    </row>
    <row r="64" spans="1:10">
      <c r="A64" s="74" t="s">
        <v>274</v>
      </c>
      <c r="B64" s="82">
        <v>46088</v>
      </c>
      <c r="C64" s="74" t="s">
        <v>56</v>
      </c>
      <c r="D64" s="74" t="s">
        <v>24</v>
      </c>
      <c r="E64" s="74" t="s">
        <v>20</v>
      </c>
      <c r="F64" s="74" t="s">
        <v>4</v>
      </c>
      <c r="G64" s="74" t="s">
        <v>96</v>
      </c>
      <c r="H64" s="80">
        <v>160</v>
      </c>
      <c r="I64" s="84">
        <v>900</v>
      </c>
      <c r="J64" s="80">
        <f t="shared" si="0"/>
        <v>144000</v>
      </c>
    </row>
    <row r="65" spans="1:10">
      <c r="A65" s="74" t="s">
        <v>275</v>
      </c>
      <c r="B65" s="82">
        <v>46100</v>
      </c>
      <c r="C65" s="74" t="s">
        <v>56</v>
      </c>
      <c r="D65" s="74" t="s">
        <v>24</v>
      </c>
      <c r="E65" s="74" t="s">
        <v>20</v>
      </c>
      <c r="F65" s="74" t="s">
        <v>4</v>
      </c>
      <c r="G65" s="74" t="s">
        <v>129</v>
      </c>
      <c r="H65" s="80">
        <v>85</v>
      </c>
      <c r="I65" s="84">
        <v>2400</v>
      </c>
      <c r="J65" s="80">
        <f t="shared" si="0"/>
        <v>204000</v>
      </c>
    </row>
    <row r="66" spans="1:10">
      <c r="A66" s="74" t="s">
        <v>276</v>
      </c>
      <c r="B66" s="82">
        <v>46090</v>
      </c>
      <c r="C66" s="74" t="s">
        <v>58</v>
      </c>
      <c r="D66" s="74" t="s">
        <v>26</v>
      </c>
      <c r="E66" s="74" t="s">
        <v>20</v>
      </c>
      <c r="F66" s="74" t="s">
        <v>4</v>
      </c>
      <c r="G66" s="74" t="s">
        <v>113</v>
      </c>
      <c r="H66" s="80">
        <v>100</v>
      </c>
      <c r="I66" s="84">
        <v>1450</v>
      </c>
      <c r="J66" s="80">
        <f t="shared" si="0"/>
        <v>145000</v>
      </c>
    </row>
    <row r="67" spans="1:10">
      <c r="A67" s="74" t="s">
        <v>277</v>
      </c>
      <c r="B67" s="82">
        <v>46104</v>
      </c>
      <c r="C67" s="74" t="s">
        <v>58</v>
      </c>
      <c r="D67" s="74" t="s">
        <v>26</v>
      </c>
      <c r="E67" s="74" t="s">
        <v>20</v>
      </c>
      <c r="F67" s="74" t="s">
        <v>4</v>
      </c>
      <c r="G67" s="74" t="s">
        <v>122</v>
      </c>
      <c r="H67" s="80">
        <v>90</v>
      </c>
      <c r="I67" s="84">
        <v>1900</v>
      </c>
      <c r="J67" s="80">
        <f t="shared" ref="J67:J130" si="1">H67*I67</f>
        <v>171000</v>
      </c>
    </row>
    <row r="68" spans="1:10">
      <c r="A68" s="74" t="s">
        <v>278</v>
      </c>
      <c r="B68" s="82">
        <v>46086</v>
      </c>
      <c r="C68" s="74" t="s">
        <v>60</v>
      </c>
      <c r="D68" s="74" t="s">
        <v>30</v>
      </c>
      <c r="E68" s="74" t="s">
        <v>28</v>
      </c>
      <c r="F68" s="74" t="s">
        <v>8</v>
      </c>
      <c r="G68" s="74" t="s">
        <v>149</v>
      </c>
      <c r="H68" s="80">
        <v>125</v>
      </c>
      <c r="I68" s="84">
        <v>2200</v>
      </c>
      <c r="J68" s="80">
        <f t="shared" si="1"/>
        <v>275000</v>
      </c>
    </row>
    <row r="69" spans="1:10">
      <c r="A69" s="74" t="s">
        <v>279</v>
      </c>
      <c r="B69" s="82">
        <v>46098</v>
      </c>
      <c r="C69" s="74" t="s">
        <v>60</v>
      </c>
      <c r="D69" s="74" t="s">
        <v>30</v>
      </c>
      <c r="E69" s="74" t="s">
        <v>28</v>
      </c>
      <c r="F69" s="74" t="s">
        <v>8</v>
      </c>
      <c r="G69" s="74" t="s">
        <v>165</v>
      </c>
      <c r="H69" s="80">
        <v>150</v>
      </c>
      <c r="I69" s="84">
        <v>1250</v>
      </c>
      <c r="J69" s="80">
        <f t="shared" si="1"/>
        <v>187500</v>
      </c>
    </row>
    <row r="70" spans="1:10">
      <c r="A70" s="74" t="s">
        <v>280</v>
      </c>
      <c r="B70" s="82">
        <v>46091</v>
      </c>
      <c r="C70" s="74" t="s">
        <v>62</v>
      </c>
      <c r="D70" s="74" t="s">
        <v>32</v>
      </c>
      <c r="E70" s="74" t="s">
        <v>28</v>
      </c>
      <c r="F70" s="74" t="s">
        <v>8</v>
      </c>
      <c r="G70" s="74" t="s">
        <v>156</v>
      </c>
      <c r="H70" s="80">
        <v>95</v>
      </c>
      <c r="I70" s="84">
        <v>2400</v>
      </c>
      <c r="J70" s="80">
        <f t="shared" si="1"/>
        <v>228000</v>
      </c>
    </row>
    <row r="71" spans="1:10">
      <c r="A71" s="74" t="s">
        <v>281</v>
      </c>
      <c r="B71" s="82">
        <v>46105</v>
      </c>
      <c r="C71" s="74" t="s">
        <v>62</v>
      </c>
      <c r="D71" s="74" t="s">
        <v>32</v>
      </c>
      <c r="E71" s="74" t="s">
        <v>28</v>
      </c>
      <c r="F71" s="74" t="s">
        <v>8</v>
      </c>
      <c r="G71" s="74" t="s">
        <v>168</v>
      </c>
      <c r="H71" s="80">
        <v>120</v>
      </c>
      <c r="I71" s="84">
        <v>1500</v>
      </c>
      <c r="J71" s="80">
        <f t="shared" si="1"/>
        <v>180000</v>
      </c>
    </row>
    <row r="72" spans="1:10">
      <c r="A72" s="74" t="s">
        <v>282</v>
      </c>
      <c r="B72" s="82">
        <v>46089</v>
      </c>
      <c r="C72" s="74" t="s">
        <v>64</v>
      </c>
      <c r="D72" s="74" t="s">
        <v>34</v>
      </c>
      <c r="E72" s="74" t="s">
        <v>28</v>
      </c>
      <c r="F72" s="74" t="s">
        <v>8</v>
      </c>
      <c r="G72" s="74" t="s">
        <v>158</v>
      </c>
      <c r="H72" s="80">
        <v>85</v>
      </c>
      <c r="I72" s="84">
        <v>3300</v>
      </c>
      <c r="J72" s="80">
        <f t="shared" si="1"/>
        <v>280500</v>
      </c>
    </row>
    <row r="73" spans="1:10">
      <c r="A73" s="74" t="s">
        <v>283</v>
      </c>
      <c r="B73" s="82">
        <v>46107</v>
      </c>
      <c r="C73" s="74" t="s">
        <v>64</v>
      </c>
      <c r="D73" s="74" t="s">
        <v>34</v>
      </c>
      <c r="E73" s="74" t="s">
        <v>28</v>
      </c>
      <c r="F73" s="74" t="s">
        <v>8</v>
      </c>
      <c r="G73" s="74" t="s">
        <v>171</v>
      </c>
      <c r="H73" s="80">
        <v>125</v>
      </c>
      <c r="I73" s="84">
        <v>1400</v>
      </c>
      <c r="J73" s="80">
        <f t="shared" si="1"/>
        <v>175000</v>
      </c>
    </row>
    <row r="74" spans="1:10">
      <c r="A74" s="74" t="s">
        <v>284</v>
      </c>
      <c r="B74" s="82">
        <v>46087</v>
      </c>
      <c r="C74" s="74" t="s">
        <v>66</v>
      </c>
      <c r="D74" s="74" t="s">
        <v>38</v>
      </c>
      <c r="E74" s="74" t="s">
        <v>36</v>
      </c>
      <c r="F74" s="74" t="s">
        <v>11</v>
      </c>
      <c r="G74" s="74" t="s">
        <v>94</v>
      </c>
      <c r="H74" s="80">
        <v>110</v>
      </c>
      <c r="I74" s="84">
        <v>2700</v>
      </c>
      <c r="J74" s="80">
        <f t="shared" si="1"/>
        <v>297000</v>
      </c>
    </row>
    <row r="75" spans="1:10">
      <c r="A75" s="74" t="s">
        <v>285</v>
      </c>
      <c r="B75" s="82">
        <v>46101</v>
      </c>
      <c r="C75" s="74" t="s">
        <v>66</v>
      </c>
      <c r="D75" s="74" t="s">
        <v>38</v>
      </c>
      <c r="E75" s="74" t="s">
        <v>36</v>
      </c>
      <c r="F75" s="74" t="s">
        <v>11</v>
      </c>
      <c r="G75" s="74" t="s">
        <v>131</v>
      </c>
      <c r="H75" s="80">
        <v>95</v>
      </c>
      <c r="I75" s="84">
        <v>2100</v>
      </c>
      <c r="J75" s="80">
        <f t="shared" si="1"/>
        <v>199500</v>
      </c>
    </row>
    <row r="76" spans="1:10">
      <c r="A76" s="74" t="s">
        <v>286</v>
      </c>
      <c r="B76" s="82">
        <v>46093</v>
      </c>
      <c r="C76" s="74" t="s">
        <v>68</v>
      </c>
      <c r="D76" s="74" t="s">
        <v>40</v>
      </c>
      <c r="E76" s="74" t="s">
        <v>36</v>
      </c>
      <c r="F76" s="74" t="s">
        <v>11</v>
      </c>
      <c r="G76" s="74" t="s">
        <v>117</v>
      </c>
      <c r="H76" s="80">
        <v>90</v>
      </c>
      <c r="I76" s="84">
        <v>2600</v>
      </c>
      <c r="J76" s="80">
        <f t="shared" si="1"/>
        <v>234000</v>
      </c>
    </row>
    <row r="77" spans="1:10">
      <c r="A77" s="74" t="s">
        <v>287</v>
      </c>
      <c r="B77" s="82">
        <v>46106</v>
      </c>
      <c r="C77" s="74" t="s">
        <v>68</v>
      </c>
      <c r="D77" s="74" t="s">
        <v>40</v>
      </c>
      <c r="E77" s="74" t="s">
        <v>36</v>
      </c>
      <c r="F77" s="74" t="s">
        <v>11</v>
      </c>
      <c r="G77" s="74" t="s">
        <v>160</v>
      </c>
      <c r="H77" s="80">
        <v>105</v>
      </c>
      <c r="I77" s="84">
        <v>2900</v>
      </c>
      <c r="J77" s="80">
        <f t="shared" si="1"/>
        <v>304500</v>
      </c>
    </row>
    <row r="78" spans="1:10">
      <c r="A78" s="74" t="s">
        <v>288</v>
      </c>
      <c r="B78" s="82">
        <v>46095</v>
      </c>
      <c r="C78" s="74" t="s">
        <v>70</v>
      </c>
      <c r="D78" s="74" t="s">
        <v>42</v>
      </c>
      <c r="E78" s="74" t="s">
        <v>36</v>
      </c>
      <c r="F78" s="74" t="s">
        <v>11</v>
      </c>
      <c r="G78" s="74" t="s">
        <v>178</v>
      </c>
      <c r="H78" s="80">
        <v>180</v>
      </c>
      <c r="I78" s="84">
        <v>1100</v>
      </c>
      <c r="J78" s="80">
        <f t="shared" si="1"/>
        <v>198000</v>
      </c>
    </row>
    <row r="79" spans="1:10">
      <c r="A79" s="74" t="s">
        <v>289</v>
      </c>
      <c r="B79" s="82">
        <v>46109</v>
      </c>
      <c r="C79" s="74" t="s">
        <v>70</v>
      </c>
      <c r="D79" s="74" t="s">
        <v>42</v>
      </c>
      <c r="E79" s="74" t="s">
        <v>36</v>
      </c>
      <c r="F79" s="74" t="s">
        <v>11</v>
      </c>
      <c r="G79" s="74" t="s">
        <v>185</v>
      </c>
      <c r="H79" s="80">
        <v>130</v>
      </c>
      <c r="I79" s="84">
        <v>1150</v>
      </c>
      <c r="J79" s="80">
        <f t="shared" si="1"/>
        <v>149500</v>
      </c>
    </row>
    <row r="80" spans="1:10">
      <c r="A80" s="74" t="s">
        <v>290</v>
      </c>
      <c r="B80" s="82">
        <v>46089</v>
      </c>
      <c r="C80" s="74" t="s">
        <v>72</v>
      </c>
      <c r="D80" s="74" t="s">
        <v>46</v>
      </c>
      <c r="E80" s="74" t="s">
        <v>44</v>
      </c>
      <c r="F80" s="74" t="s">
        <v>14</v>
      </c>
      <c r="G80" s="74" t="s">
        <v>98</v>
      </c>
      <c r="H80" s="80">
        <v>150</v>
      </c>
      <c r="I80" s="84">
        <v>950</v>
      </c>
      <c r="J80" s="80">
        <f t="shared" si="1"/>
        <v>142500</v>
      </c>
    </row>
    <row r="81" spans="1:10">
      <c r="A81" s="74" t="s">
        <v>291</v>
      </c>
      <c r="B81" s="82">
        <v>46099</v>
      </c>
      <c r="C81" s="74" t="s">
        <v>72</v>
      </c>
      <c r="D81" s="74" t="s">
        <v>46</v>
      </c>
      <c r="E81" s="74" t="s">
        <v>44</v>
      </c>
      <c r="F81" s="74" t="s">
        <v>14</v>
      </c>
      <c r="G81" s="74" t="s">
        <v>144</v>
      </c>
      <c r="H81" s="80">
        <v>100</v>
      </c>
      <c r="I81" s="84">
        <v>1550</v>
      </c>
      <c r="J81" s="80">
        <f t="shared" si="1"/>
        <v>155000</v>
      </c>
    </row>
    <row r="82" spans="1:10">
      <c r="A82" s="74" t="s">
        <v>292</v>
      </c>
      <c r="B82" s="82">
        <v>46094</v>
      </c>
      <c r="C82" s="74" t="s">
        <v>74</v>
      </c>
      <c r="D82" s="74" t="s">
        <v>48</v>
      </c>
      <c r="E82" s="74" t="s">
        <v>44</v>
      </c>
      <c r="F82" s="74" t="s">
        <v>14</v>
      </c>
      <c r="G82" s="74" t="s">
        <v>169</v>
      </c>
      <c r="H82" s="80">
        <v>120</v>
      </c>
      <c r="I82" s="84">
        <v>1200</v>
      </c>
      <c r="J82" s="80">
        <f t="shared" si="1"/>
        <v>144000</v>
      </c>
    </row>
    <row r="83" spans="1:10">
      <c r="A83" s="74" t="s">
        <v>293</v>
      </c>
      <c r="B83" s="82">
        <v>46108</v>
      </c>
      <c r="C83" s="74" t="s">
        <v>74</v>
      </c>
      <c r="D83" s="74" t="s">
        <v>48</v>
      </c>
      <c r="E83" s="74" t="s">
        <v>44</v>
      </c>
      <c r="F83" s="74" t="s">
        <v>14</v>
      </c>
      <c r="G83" s="74" t="s">
        <v>191</v>
      </c>
      <c r="H83" s="80">
        <v>140</v>
      </c>
      <c r="I83" s="84">
        <v>1250</v>
      </c>
      <c r="J83" s="80">
        <f t="shared" si="1"/>
        <v>175000</v>
      </c>
    </row>
    <row r="84" spans="1:10">
      <c r="A84" s="74" t="s">
        <v>294</v>
      </c>
      <c r="B84" s="82">
        <v>46086</v>
      </c>
      <c r="C84" s="74" t="s">
        <v>76</v>
      </c>
      <c r="D84" s="74" t="s">
        <v>50</v>
      </c>
      <c r="E84" s="74" t="s">
        <v>44</v>
      </c>
      <c r="F84" s="74" t="s">
        <v>14</v>
      </c>
      <c r="G84" s="74" t="s">
        <v>102</v>
      </c>
      <c r="H84" s="80">
        <v>120</v>
      </c>
      <c r="I84" s="84">
        <v>1100</v>
      </c>
      <c r="J84" s="80">
        <f t="shared" si="1"/>
        <v>132000</v>
      </c>
    </row>
    <row r="85" spans="1:10">
      <c r="A85" s="74" t="s">
        <v>295</v>
      </c>
      <c r="B85" s="82">
        <v>46103</v>
      </c>
      <c r="C85" s="74" t="s">
        <v>76</v>
      </c>
      <c r="D85" s="74" t="s">
        <v>50</v>
      </c>
      <c r="E85" s="74" t="s">
        <v>44</v>
      </c>
      <c r="F85" s="74" t="s">
        <v>14</v>
      </c>
      <c r="G85" s="74" t="s">
        <v>193</v>
      </c>
      <c r="H85" s="80">
        <v>110</v>
      </c>
      <c r="I85" s="84">
        <v>1350</v>
      </c>
      <c r="J85" s="80">
        <f t="shared" si="1"/>
        <v>148500</v>
      </c>
    </row>
    <row r="86" spans="1:10">
      <c r="A86" s="74" t="s">
        <v>296</v>
      </c>
      <c r="B86" s="82">
        <v>46116</v>
      </c>
      <c r="C86" s="74" t="s">
        <v>54</v>
      </c>
      <c r="D86" s="74" t="s">
        <v>22</v>
      </c>
      <c r="E86" s="74" t="s">
        <v>20</v>
      </c>
      <c r="F86" s="74" t="s">
        <v>4</v>
      </c>
      <c r="G86" s="74" t="s">
        <v>85</v>
      </c>
      <c r="H86" s="80">
        <v>120</v>
      </c>
      <c r="I86" s="84">
        <v>850</v>
      </c>
      <c r="J86" s="80">
        <f t="shared" si="1"/>
        <v>102000</v>
      </c>
    </row>
    <row r="87" spans="1:10">
      <c r="A87" s="74" t="s">
        <v>297</v>
      </c>
      <c r="B87" s="82">
        <v>46124</v>
      </c>
      <c r="C87" s="74" t="s">
        <v>54</v>
      </c>
      <c r="D87" s="74" t="s">
        <v>22</v>
      </c>
      <c r="E87" s="74" t="s">
        <v>20</v>
      </c>
      <c r="F87" s="74" t="s">
        <v>4</v>
      </c>
      <c r="G87" s="74" t="s">
        <v>101</v>
      </c>
      <c r="H87" s="80">
        <v>95</v>
      </c>
      <c r="I87" s="84">
        <v>1200</v>
      </c>
      <c r="J87" s="80">
        <f t="shared" si="1"/>
        <v>114000</v>
      </c>
    </row>
    <row r="88" spans="1:10">
      <c r="A88" s="74" t="s">
        <v>298</v>
      </c>
      <c r="B88" s="82">
        <v>46120</v>
      </c>
      <c r="C88" s="74" t="s">
        <v>56</v>
      </c>
      <c r="D88" s="74" t="s">
        <v>24</v>
      </c>
      <c r="E88" s="74" t="s">
        <v>20</v>
      </c>
      <c r="F88" s="74" t="s">
        <v>4</v>
      </c>
      <c r="G88" s="74" t="s">
        <v>96</v>
      </c>
      <c r="H88" s="80">
        <v>145</v>
      </c>
      <c r="I88" s="84">
        <v>900</v>
      </c>
      <c r="J88" s="80">
        <f t="shared" si="1"/>
        <v>130500</v>
      </c>
    </row>
    <row r="89" spans="1:10">
      <c r="A89" s="74" t="s">
        <v>299</v>
      </c>
      <c r="B89" s="82">
        <v>46132</v>
      </c>
      <c r="C89" s="74" t="s">
        <v>56</v>
      </c>
      <c r="D89" s="74" t="s">
        <v>24</v>
      </c>
      <c r="E89" s="74" t="s">
        <v>20</v>
      </c>
      <c r="F89" s="74" t="s">
        <v>4</v>
      </c>
      <c r="G89" s="74" t="s">
        <v>125</v>
      </c>
      <c r="H89" s="80">
        <v>75</v>
      </c>
      <c r="I89" s="84">
        <v>1800</v>
      </c>
      <c r="J89" s="80">
        <f t="shared" si="1"/>
        <v>135000</v>
      </c>
    </row>
    <row r="90" spans="1:10">
      <c r="A90" s="74" t="s">
        <v>300</v>
      </c>
      <c r="B90" s="82">
        <v>46118</v>
      </c>
      <c r="C90" s="74" t="s">
        <v>58</v>
      </c>
      <c r="D90" s="74" t="s">
        <v>26</v>
      </c>
      <c r="E90" s="74" t="s">
        <v>20</v>
      </c>
      <c r="F90" s="74" t="s">
        <v>4</v>
      </c>
      <c r="G90" s="74" t="s">
        <v>113</v>
      </c>
      <c r="H90" s="80">
        <v>85</v>
      </c>
      <c r="I90" s="84">
        <v>1450</v>
      </c>
      <c r="J90" s="80">
        <f t="shared" si="1"/>
        <v>123250</v>
      </c>
    </row>
    <row r="91" spans="1:10">
      <c r="A91" s="74" t="s">
        <v>301</v>
      </c>
      <c r="B91" s="82">
        <v>46134</v>
      </c>
      <c r="C91" s="74" t="s">
        <v>58</v>
      </c>
      <c r="D91" s="74" t="s">
        <v>26</v>
      </c>
      <c r="E91" s="74" t="s">
        <v>20</v>
      </c>
      <c r="F91" s="74" t="s">
        <v>4</v>
      </c>
      <c r="G91" s="74" t="s">
        <v>134</v>
      </c>
      <c r="H91" s="80">
        <v>100</v>
      </c>
      <c r="I91" s="84">
        <v>1050</v>
      </c>
      <c r="J91" s="80">
        <f t="shared" si="1"/>
        <v>105000</v>
      </c>
    </row>
    <row r="92" spans="1:10">
      <c r="A92" s="74" t="s">
        <v>302</v>
      </c>
      <c r="B92" s="82">
        <v>46117</v>
      </c>
      <c r="C92" s="74" t="s">
        <v>60</v>
      </c>
      <c r="D92" s="74" t="s">
        <v>30</v>
      </c>
      <c r="E92" s="74" t="s">
        <v>28</v>
      </c>
      <c r="F92" s="74" t="s">
        <v>8</v>
      </c>
      <c r="G92" s="74" t="s">
        <v>149</v>
      </c>
      <c r="H92" s="80">
        <v>105</v>
      </c>
      <c r="I92" s="84">
        <v>2200</v>
      </c>
      <c r="J92" s="80">
        <f t="shared" si="1"/>
        <v>231000</v>
      </c>
    </row>
    <row r="93" spans="1:10">
      <c r="A93" s="74" t="s">
        <v>303</v>
      </c>
      <c r="B93" s="82">
        <v>46130</v>
      </c>
      <c r="C93" s="74" t="s">
        <v>60</v>
      </c>
      <c r="D93" s="74" t="s">
        <v>30</v>
      </c>
      <c r="E93" s="74" t="s">
        <v>28</v>
      </c>
      <c r="F93" s="74" t="s">
        <v>8</v>
      </c>
      <c r="G93" s="74" t="s">
        <v>168</v>
      </c>
      <c r="H93" s="80">
        <v>135</v>
      </c>
      <c r="I93" s="84">
        <v>1500</v>
      </c>
      <c r="J93" s="80">
        <f t="shared" si="1"/>
        <v>202500</v>
      </c>
    </row>
    <row r="94" spans="1:10">
      <c r="A94" s="74" t="s">
        <v>304</v>
      </c>
      <c r="B94" s="82">
        <v>46121</v>
      </c>
      <c r="C94" s="74" t="s">
        <v>62</v>
      </c>
      <c r="D94" s="74" t="s">
        <v>32</v>
      </c>
      <c r="E94" s="74" t="s">
        <v>28</v>
      </c>
      <c r="F94" s="74" t="s">
        <v>8</v>
      </c>
      <c r="G94" s="74" t="s">
        <v>156</v>
      </c>
      <c r="H94" s="80">
        <v>85</v>
      </c>
      <c r="I94" s="84">
        <v>2400</v>
      </c>
      <c r="J94" s="80">
        <f t="shared" si="1"/>
        <v>204000</v>
      </c>
    </row>
    <row r="95" spans="1:10">
      <c r="A95" s="74" t="s">
        <v>305</v>
      </c>
      <c r="B95" s="82">
        <v>46136</v>
      </c>
      <c r="C95" s="74" t="s">
        <v>62</v>
      </c>
      <c r="D95" s="74" t="s">
        <v>32</v>
      </c>
      <c r="E95" s="74" t="s">
        <v>28</v>
      </c>
      <c r="F95" s="74" t="s">
        <v>8</v>
      </c>
      <c r="G95" s="74" t="s">
        <v>158</v>
      </c>
      <c r="H95" s="80">
        <v>70</v>
      </c>
      <c r="I95" s="84">
        <v>3300</v>
      </c>
      <c r="J95" s="80">
        <f t="shared" si="1"/>
        <v>231000</v>
      </c>
    </row>
    <row r="96" spans="1:10">
      <c r="A96" s="74" t="s">
        <v>306</v>
      </c>
      <c r="B96" s="82">
        <v>46123</v>
      </c>
      <c r="C96" s="74" t="s">
        <v>64</v>
      </c>
      <c r="D96" s="74" t="s">
        <v>34</v>
      </c>
      <c r="E96" s="74" t="s">
        <v>28</v>
      </c>
      <c r="F96" s="74" t="s">
        <v>8</v>
      </c>
      <c r="G96" s="74" t="s">
        <v>165</v>
      </c>
      <c r="H96" s="80">
        <v>125</v>
      </c>
      <c r="I96" s="84">
        <v>1250</v>
      </c>
      <c r="J96" s="80">
        <f t="shared" si="1"/>
        <v>156250</v>
      </c>
    </row>
    <row r="97" spans="1:10">
      <c r="A97" s="74" t="s">
        <v>307</v>
      </c>
      <c r="B97" s="82">
        <v>46139</v>
      </c>
      <c r="C97" s="74" t="s">
        <v>64</v>
      </c>
      <c r="D97" s="74" t="s">
        <v>34</v>
      </c>
      <c r="E97" s="74" t="s">
        <v>28</v>
      </c>
      <c r="F97" s="74" t="s">
        <v>8</v>
      </c>
      <c r="G97" s="74" t="s">
        <v>171</v>
      </c>
      <c r="H97" s="80">
        <v>100</v>
      </c>
      <c r="I97" s="84">
        <v>1400</v>
      </c>
      <c r="J97" s="80">
        <f t="shared" si="1"/>
        <v>140000</v>
      </c>
    </row>
    <row r="98" spans="1:10">
      <c r="A98" s="74" t="s">
        <v>308</v>
      </c>
      <c r="B98" s="82">
        <v>46119</v>
      </c>
      <c r="C98" s="74" t="s">
        <v>66</v>
      </c>
      <c r="D98" s="74" t="s">
        <v>38</v>
      </c>
      <c r="E98" s="74" t="s">
        <v>36</v>
      </c>
      <c r="F98" s="74" t="s">
        <v>11</v>
      </c>
      <c r="G98" s="74" t="s">
        <v>94</v>
      </c>
      <c r="H98" s="80">
        <v>95</v>
      </c>
      <c r="I98" s="84">
        <v>2700</v>
      </c>
      <c r="J98" s="80">
        <f t="shared" si="1"/>
        <v>256500</v>
      </c>
    </row>
    <row r="99" spans="1:10">
      <c r="A99" s="74" t="s">
        <v>309</v>
      </c>
      <c r="B99" s="82">
        <v>46133</v>
      </c>
      <c r="C99" s="74" t="s">
        <v>66</v>
      </c>
      <c r="D99" s="74" t="s">
        <v>38</v>
      </c>
      <c r="E99" s="74" t="s">
        <v>36</v>
      </c>
      <c r="F99" s="74" t="s">
        <v>11</v>
      </c>
      <c r="G99" s="74" t="s">
        <v>129</v>
      </c>
      <c r="H99" s="80">
        <v>85</v>
      </c>
      <c r="I99" s="84">
        <v>2400</v>
      </c>
      <c r="J99" s="80">
        <f t="shared" si="1"/>
        <v>204000</v>
      </c>
    </row>
    <row r="100" spans="1:10">
      <c r="A100" s="74" t="s">
        <v>310</v>
      </c>
      <c r="B100" s="82">
        <v>46125</v>
      </c>
      <c r="C100" s="74" t="s">
        <v>68</v>
      </c>
      <c r="D100" s="74" t="s">
        <v>40</v>
      </c>
      <c r="E100" s="74" t="s">
        <v>36</v>
      </c>
      <c r="F100" s="74" t="s">
        <v>11</v>
      </c>
      <c r="G100" s="74" t="s">
        <v>117</v>
      </c>
      <c r="H100" s="80">
        <v>80</v>
      </c>
      <c r="I100" s="84">
        <v>2600</v>
      </c>
      <c r="J100" s="80">
        <f t="shared" si="1"/>
        <v>208000</v>
      </c>
    </row>
    <row r="101" spans="1:10">
      <c r="A101" s="74" t="s">
        <v>311</v>
      </c>
      <c r="B101" s="82">
        <v>46138</v>
      </c>
      <c r="C101" s="74" t="s">
        <v>68</v>
      </c>
      <c r="D101" s="74" t="s">
        <v>40</v>
      </c>
      <c r="E101" s="74" t="s">
        <v>36</v>
      </c>
      <c r="F101" s="74" t="s">
        <v>11</v>
      </c>
      <c r="G101" s="74" t="s">
        <v>160</v>
      </c>
      <c r="H101" s="80">
        <v>90</v>
      </c>
      <c r="I101" s="84">
        <v>2900</v>
      </c>
      <c r="J101" s="80">
        <f t="shared" si="1"/>
        <v>261000</v>
      </c>
    </row>
    <row r="102" spans="1:10">
      <c r="A102" s="74" t="s">
        <v>312</v>
      </c>
      <c r="B102" s="82">
        <v>46122</v>
      </c>
      <c r="C102" s="74" t="s">
        <v>70</v>
      </c>
      <c r="D102" s="74" t="s">
        <v>42</v>
      </c>
      <c r="E102" s="74" t="s">
        <v>36</v>
      </c>
      <c r="F102" s="74" t="s">
        <v>11</v>
      </c>
      <c r="G102" s="74" t="s">
        <v>178</v>
      </c>
      <c r="H102" s="80">
        <v>160</v>
      </c>
      <c r="I102" s="84">
        <v>1100</v>
      </c>
      <c r="J102" s="80">
        <f t="shared" si="1"/>
        <v>176000</v>
      </c>
    </row>
    <row r="103" spans="1:10">
      <c r="A103" s="74" t="s">
        <v>313</v>
      </c>
      <c r="B103" s="82">
        <v>46135</v>
      </c>
      <c r="C103" s="74" t="s">
        <v>70</v>
      </c>
      <c r="D103" s="74" t="s">
        <v>42</v>
      </c>
      <c r="E103" s="74" t="s">
        <v>36</v>
      </c>
      <c r="F103" s="74" t="s">
        <v>11</v>
      </c>
      <c r="G103" s="74" t="s">
        <v>188</v>
      </c>
      <c r="H103" s="80">
        <v>115</v>
      </c>
      <c r="I103" s="84">
        <v>1050</v>
      </c>
      <c r="J103" s="80">
        <f t="shared" si="1"/>
        <v>120750</v>
      </c>
    </row>
    <row r="104" spans="1:10">
      <c r="A104" s="74" t="s">
        <v>314</v>
      </c>
      <c r="B104" s="82">
        <v>46120</v>
      </c>
      <c r="C104" s="74" t="s">
        <v>72</v>
      </c>
      <c r="D104" s="74" t="s">
        <v>46</v>
      </c>
      <c r="E104" s="74" t="s">
        <v>44</v>
      </c>
      <c r="F104" s="74" t="s">
        <v>14</v>
      </c>
      <c r="G104" s="74" t="s">
        <v>98</v>
      </c>
      <c r="H104" s="80">
        <v>135</v>
      </c>
      <c r="I104" s="84">
        <v>950</v>
      </c>
      <c r="J104" s="80">
        <f t="shared" si="1"/>
        <v>128250</v>
      </c>
    </row>
    <row r="105" spans="1:10">
      <c r="A105" s="74" t="s">
        <v>315</v>
      </c>
      <c r="B105" s="82">
        <v>46131</v>
      </c>
      <c r="C105" s="74" t="s">
        <v>72</v>
      </c>
      <c r="D105" s="74" t="s">
        <v>46</v>
      </c>
      <c r="E105" s="74" t="s">
        <v>44</v>
      </c>
      <c r="F105" s="74" t="s">
        <v>14</v>
      </c>
      <c r="G105" s="74" t="s">
        <v>144</v>
      </c>
      <c r="H105" s="80">
        <v>90</v>
      </c>
      <c r="I105" s="84">
        <v>1550</v>
      </c>
      <c r="J105" s="80">
        <f t="shared" si="1"/>
        <v>139500</v>
      </c>
    </row>
    <row r="106" spans="1:10">
      <c r="A106" s="74" t="s">
        <v>316</v>
      </c>
      <c r="B106" s="82">
        <v>46126</v>
      </c>
      <c r="C106" s="74" t="s">
        <v>74</v>
      </c>
      <c r="D106" s="74" t="s">
        <v>48</v>
      </c>
      <c r="E106" s="74" t="s">
        <v>44</v>
      </c>
      <c r="F106" s="74" t="s">
        <v>14</v>
      </c>
      <c r="G106" s="74" t="s">
        <v>169</v>
      </c>
      <c r="H106" s="80">
        <v>105</v>
      </c>
      <c r="I106" s="84">
        <v>1200</v>
      </c>
      <c r="J106" s="80">
        <f t="shared" si="1"/>
        <v>126000</v>
      </c>
    </row>
    <row r="107" spans="1:10">
      <c r="A107" s="74" t="s">
        <v>317</v>
      </c>
      <c r="B107" s="82">
        <v>46137</v>
      </c>
      <c r="C107" s="74" t="s">
        <v>74</v>
      </c>
      <c r="D107" s="74" t="s">
        <v>48</v>
      </c>
      <c r="E107" s="74" t="s">
        <v>44</v>
      </c>
      <c r="F107" s="74" t="s">
        <v>14</v>
      </c>
      <c r="G107" s="74" t="s">
        <v>191</v>
      </c>
      <c r="H107" s="80">
        <v>125</v>
      </c>
      <c r="I107" s="84">
        <v>1250</v>
      </c>
      <c r="J107" s="80">
        <f t="shared" si="1"/>
        <v>156250</v>
      </c>
    </row>
    <row r="108" spans="1:10">
      <c r="A108" s="74" t="s">
        <v>318</v>
      </c>
      <c r="B108" s="82">
        <v>46118</v>
      </c>
      <c r="C108" s="74" t="s">
        <v>76</v>
      </c>
      <c r="D108" s="74" t="s">
        <v>50</v>
      </c>
      <c r="E108" s="74" t="s">
        <v>44</v>
      </c>
      <c r="F108" s="74" t="s">
        <v>14</v>
      </c>
      <c r="G108" s="74" t="s">
        <v>102</v>
      </c>
      <c r="H108" s="80">
        <v>110</v>
      </c>
      <c r="I108" s="84">
        <v>1100</v>
      </c>
      <c r="J108" s="80">
        <f t="shared" si="1"/>
        <v>121000</v>
      </c>
    </row>
    <row r="109" spans="1:10">
      <c r="A109" s="74" t="s">
        <v>319</v>
      </c>
      <c r="B109" s="82">
        <v>46140</v>
      </c>
      <c r="C109" s="74" t="s">
        <v>76</v>
      </c>
      <c r="D109" s="74" t="s">
        <v>50</v>
      </c>
      <c r="E109" s="74" t="s">
        <v>44</v>
      </c>
      <c r="F109" s="74" t="s">
        <v>14</v>
      </c>
      <c r="G109" s="74" t="s">
        <v>193</v>
      </c>
      <c r="H109" s="80">
        <v>95</v>
      </c>
      <c r="I109" s="84">
        <v>1350</v>
      </c>
      <c r="J109" s="80">
        <f t="shared" si="1"/>
        <v>128250</v>
      </c>
    </row>
    <row r="110" spans="1:10">
      <c r="A110" s="74" t="s">
        <v>320</v>
      </c>
      <c r="B110" s="82">
        <v>46147</v>
      </c>
      <c r="C110" s="74" t="s">
        <v>54</v>
      </c>
      <c r="D110" s="74" t="s">
        <v>22</v>
      </c>
      <c r="E110" s="74" t="s">
        <v>20</v>
      </c>
      <c r="F110" s="74" t="s">
        <v>4</v>
      </c>
      <c r="G110" s="74" t="s">
        <v>85</v>
      </c>
      <c r="H110" s="80">
        <v>135</v>
      </c>
      <c r="I110" s="84">
        <v>850</v>
      </c>
      <c r="J110" s="80">
        <f t="shared" si="1"/>
        <v>114750</v>
      </c>
    </row>
    <row r="111" spans="1:10">
      <c r="A111" s="74" t="s">
        <v>321</v>
      </c>
      <c r="B111" s="82">
        <v>46156</v>
      </c>
      <c r="C111" s="74" t="s">
        <v>54</v>
      </c>
      <c r="D111" s="74" t="s">
        <v>22</v>
      </c>
      <c r="E111" s="74" t="s">
        <v>20</v>
      </c>
      <c r="F111" s="74" t="s">
        <v>4</v>
      </c>
      <c r="G111" s="74" t="s">
        <v>99</v>
      </c>
      <c r="H111" s="80">
        <v>105</v>
      </c>
      <c r="I111" s="84">
        <v>1150</v>
      </c>
      <c r="J111" s="80">
        <f t="shared" si="1"/>
        <v>120750</v>
      </c>
    </row>
    <row r="112" spans="1:10">
      <c r="A112" s="74" t="s">
        <v>322</v>
      </c>
      <c r="B112" s="82">
        <v>46150</v>
      </c>
      <c r="C112" s="74" t="s">
        <v>56</v>
      </c>
      <c r="D112" s="74" t="s">
        <v>24</v>
      </c>
      <c r="E112" s="74" t="s">
        <v>20</v>
      </c>
      <c r="F112" s="74" t="s">
        <v>4</v>
      </c>
      <c r="G112" s="74" t="s">
        <v>96</v>
      </c>
      <c r="H112" s="80">
        <v>155</v>
      </c>
      <c r="I112" s="84">
        <v>900</v>
      </c>
      <c r="J112" s="80">
        <f t="shared" si="1"/>
        <v>139500</v>
      </c>
    </row>
    <row r="113" spans="1:10">
      <c r="A113" s="74" t="s">
        <v>323</v>
      </c>
      <c r="B113" s="82">
        <v>46163</v>
      </c>
      <c r="C113" s="74" t="s">
        <v>56</v>
      </c>
      <c r="D113" s="74" t="s">
        <v>24</v>
      </c>
      <c r="E113" s="74" t="s">
        <v>20</v>
      </c>
      <c r="F113" s="74" t="s">
        <v>4</v>
      </c>
      <c r="G113" s="74" t="s">
        <v>129</v>
      </c>
      <c r="H113" s="80">
        <v>90</v>
      </c>
      <c r="I113" s="84">
        <v>2400</v>
      </c>
      <c r="J113" s="80">
        <f t="shared" si="1"/>
        <v>216000</v>
      </c>
    </row>
    <row r="114" spans="1:10">
      <c r="A114" s="74" t="s">
        <v>324</v>
      </c>
      <c r="B114" s="82">
        <v>46149</v>
      </c>
      <c r="C114" s="74" t="s">
        <v>58</v>
      </c>
      <c r="D114" s="74" t="s">
        <v>26</v>
      </c>
      <c r="E114" s="74" t="s">
        <v>20</v>
      </c>
      <c r="F114" s="74" t="s">
        <v>4</v>
      </c>
      <c r="G114" s="74" t="s">
        <v>113</v>
      </c>
      <c r="H114" s="80">
        <v>95</v>
      </c>
      <c r="I114" s="84">
        <v>1450</v>
      </c>
      <c r="J114" s="80">
        <f t="shared" si="1"/>
        <v>137750</v>
      </c>
    </row>
    <row r="115" spans="1:10">
      <c r="A115" s="74" t="s">
        <v>325</v>
      </c>
      <c r="B115" s="82">
        <v>46166</v>
      </c>
      <c r="C115" s="74" t="s">
        <v>58</v>
      </c>
      <c r="D115" s="74" t="s">
        <v>26</v>
      </c>
      <c r="E115" s="74" t="s">
        <v>20</v>
      </c>
      <c r="F115" s="74" t="s">
        <v>4</v>
      </c>
      <c r="G115" s="74" t="s">
        <v>122</v>
      </c>
      <c r="H115" s="80">
        <v>100</v>
      </c>
      <c r="I115" s="84">
        <v>1900</v>
      </c>
      <c r="J115" s="80">
        <f t="shared" si="1"/>
        <v>190000</v>
      </c>
    </row>
    <row r="116" spans="1:10">
      <c r="A116" s="74" t="s">
        <v>326</v>
      </c>
      <c r="B116" s="82">
        <v>46146</v>
      </c>
      <c r="C116" s="74" t="s">
        <v>60</v>
      </c>
      <c r="D116" s="74" t="s">
        <v>30</v>
      </c>
      <c r="E116" s="74" t="s">
        <v>28</v>
      </c>
      <c r="F116" s="74" t="s">
        <v>8</v>
      </c>
      <c r="G116" s="74" t="s">
        <v>149</v>
      </c>
      <c r="H116" s="80">
        <v>120</v>
      </c>
      <c r="I116" s="84">
        <v>2200</v>
      </c>
      <c r="J116" s="80">
        <f t="shared" si="1"/>
        <v>264000</v>
      </c>
    </row>
    <row r="117" spans="1:10">
      <c r="A117" s="74" t="s">
        <v>327</v>
      </c>
      <c r="B117" s="82">
        <v>46160</v>
      </c>
      <c r="C117" s="74" t="s">
        <v>60</v>
      </c>
      <c r="D117" s="74" t="s">
        <v>30</v>
      </c>
      <c r="E117" s="74" t="s">
        <v>28</v>
      </c>
      <c r="F117" s="74" t="s">
        <v>8</v>
      </c>
      <c r="G117" s="74" t="s">
        <v>165</v>
      </c>
      <c r="H117" s="80">
        <v>145</v>
      </c>
      <c r="I117" s="84">
        <v>1250</v>
      </c>
      <c r="J117" s="80">
        <f t="shared" si="1"/>
        <v>181250</v>
      </c>
    </row>
    <row r="118" spans="1:10">
      <c r="A118" s="74" t="s">
        <v>328</v>
      </c>
      <c r="B118" s="82">
        <v>46152</v>
      </c>
      <c r="C118" s="74" t="s">
        <v>62</v>
      </c>
      <c r="D118" s="74" t="s">
        <v>32</v>
      </c>
      <c r="E118" s="74" t="s">
        <v>28</v>
      </c>
      <c r="F118" s="74" t="s">
        <v>8</v>
      </c>
      <c r="G118" s="74" t="s">
        <v>156</v>
      </c>
      <c r="H118" s="80">
        <v>100</v>
      </c>
      <c r="I118" s="84">
        <v>2400</v>
      </c>
      <c r="J118" s="80">
        <f t="shared" si="1"/>
        <v>240000</v>
      </c>
    </row>
    <row r="119" spans="1:10">
      <c r="A119" s="74" t="s">
        <v>329</v>
      </c>
      <c r="B119" s="82">
        <v>46168</v>
      </c>
      <c r="C119" s="74" t="s">
        <v>62</v>
      </c>
      <c r="D119" s="74" t="s">
        <v>32</v>
      </c>
      <c r="E119" s="74" t="s">
        <v>28</v>
      </c>
      <c r="F119" s="74" t="s">
        <v>8</v>
      </c>
      <c r="G119" s="74" t="s">
        <v>168</v>
      </c>
      <c r="H119" s="80">
        <v>130</v>
      </c>
      <c r="I119" s="84">
        <v>1500</v>
      </c>
      <c r="J119" s="80">
        <f t="shared" si="1"/>
        <v>195000</v>
      </c>
    </row>
    <row r="120" spans="1:10">
      <c r="A120" s="74" t="s">
        <v>330</v>
      </c>
      <c r="B120" s="82">
        <v>46151</v>
      </c>
      <c r="C120" s="74" t="s">
        <v>64</v>
      </c>
      <c r="D120" s="74" t="s">
        <v>34</v>
      </c>
      <c r="E120" s="74" t="s">
        <v>28</v>
      </c>
      <c r="F120" s="74" t="s">
        <v>8</v>
      </c>
      <c r="G120" s="74" t="s">
        <v>158</v>
      </c>
      <c r="H120" s="80">
        <v>90</v>
      </c>
      <c r="I120" s="84">
        <v>3300</v>
      </c>
      <c r="J120" s="80">
        <f t="shared" si="1"/>
        <v>297000</v>
      </c>
    </row>
    <row r="121" spans="1:10">
      <c r="A121" s="74" t="s">
        <v>331</v>
      </c>
      <c r="B121" s="82">
        <v>46169</v>
      </c>
      <c r="C121" s="74" t="s">
        <v>64</v>
      </c>
      <c r="D121" s="74" t="s">
        <v>34</v>
      </c>
      <c r="E121" s="74" t="s">
        <v>28</v>
      </c>
      <c r="F121" s="74" t="s">
        <v>8</v>
      </c>
      <c r="G121" s="74" t="s">
        <v>171</v>
      </c>
      <c r="H121" s="80">
        <v>115</v>
      </c>
      <c r="I121" s="84">
        <v>1400</v>
      </c>
      <c r="J121" s="80">
        <f t="shared" si="1"/>
        <v>161000</v>
      </c>
    </row>
    <row r="122" spans="1:10">
      <c r="A122" s="74" t="s">
        <v>332</v>
      </c>
      <c r="B122" s="82">
        <v>46148</v>
      </c>
      <c r="C122" s="74" t="s">
        <v>66</v>
      </c>
      <c r="D122" s="74" t="s">
        <v>38</v>
      </c>
      <c r="E122" s="74" t="s">
        <v>36</v>
      </c>
      <c r="F122" s="74" t="s">
        <v>11</v>
      </c>
      <c r="G122" s="74" t="s">
        <v>94</v>
      </c>
      <c r="H122" s="80">
        <v>115</v>
      </c>
      <c r="I122" s="84">
        <v>2700</v>
      </c>
      <c r="J122" s="80">
        <f t="shared" si="1"/>
        <v>310500</v>
      </c>
    </row>
    <row r="123" spans="1:10">
      <c r="A123" s="74" t="s">
        <v>333</v>
      </c>
      <c r="B123" s="82">
        <v>46162</v>
      </c>
      <c r="C123" s="74" t="s">
        <v>66</v>
      </c>
      <c r="D123" s="74" t="s">
        <v>38</v>
      </c>
      <c r="E123" s="74" t="s">
        <v>36</v>
      </c>
      <c r="F123" s="74" t="s">
        <v>11</v>
      </c>
      <c r="G123" s="74" t="s">
        <v>131</v>
      </c>
      <c r="H123" s="80">
        <v>100</v>
      </c>
      <c r="I123" s="84">
        <v>2100</v>
      </c>
      <c r="J123" s="80">
        <f t="shared" si="1"/>
        <v>210000</v>
      </c>
    </row>
    <row r="124" spans="1:10">
      <c r="A124" s="74" t="s">
        <v>334</v>
      </c>
      <c r="B124" s="82">
        <v>46154</v>
      </c>
      <c r="C124" s="74" t="s">
        <v>68</v>
      </c>
      <c r="D124" s="74" t="s">
        <v>40</v>
      </c>
      <c r="E124" s="74" t="s">
        <v>36</v>
      </c>
      <c r="F124" s="74" t="s">
        <v>11</v>
      </c>
      <c r="G124" s="74" t="s">
        <v>117</v>
      </c>
      <c r="H124" s="80">
        <v>95</v>
      </c>
      <c r="I124" s="84">
        <v>2600</v>
      </c>
      <c r="J124" s="80">
        <f t="shared" si="1"/>
        <v>247000</v>
      </c>
    </row>
    <row r="125" spans="1:10">
      <c r="A125" s="74" t="s">
        <v>335</v>
      </c>
      <c r="B125" s="82">
        <v>46167</v>
      </c>
      <c r="C125" s="74" t="s">
        <v>68</v>
      </c>
      <c r="D125" s="74" t="s">
        <v>40</v>
      </c>
      <c r="E125" s="74" t="s">
        <v>36</v>
      </c>
      <c r="F125" s="74" t="s">
        <v>11</v>
      </c>
      <c r="G125" s="74" t="s">
        <v>160</v>
      </c>
      <c r="H125" s="80">
        <v>110</v>
      </c>
      <c r="I125" s="84">
        <v>2900</v>
      </c>
      <c r="J125" s="80">
        <f t="shared" si="1"/>
        <v>319000</v>
      </c>
    </row>
    <row r="126" spans="1:10">
      <c r="A126" s="74" t="s">
        <v>336</v>
      </c>
      <c r="B126" s="82">
        <v>46157</v>
      </c>
      <c r="C126" s="74" t="s">
        <v>70</v>
      </c>
      <c r="D126" s="74" t="s">
        <v>42</v>
      </c>
      <c r="E126" s="74" t="s">
        <v>36</v>
      </c>
      <c r="F126" s="74" t="s">
        <v>11</v>
      </c>
      <c r="G126" s="74" t="s">
        <v>178</v>
      </c>
      <c r="H126" s="80">
        <v>185</v>
      </c>
      <c r="I126" s="84">
        <v>1100</v>
      </c>
      <c r="J126" s="80">
        <f t="shared" si="1"/>
        <v>203500</v>
      </c>
    </row>
    <row r="127" spans="1:10">
      <c r="A127" s="74" t="s">
        <v>337</v>
      </c>
      <c r="B127" s="82">
        <v>46170</v>
      </c>
      <c r="C127" s="74" t="s">
        <v>70</v>
      </c>
      <c r="D127" s="74" t="s">
        <v>42</v>
      </c>
      <c r="E127" s="74" t="s">
        <v>36</v>
      </c>
      <c r="F127" s="74" t="s">
        <v>11</v>
      </c>
      <c r="G127" s="74" t="s">
        <v>185</v>
      </c>
      <c r="H127" s="80">
        <v>135</v>
      </c>
      <c r="I127" s="84">
        <v>1150</v>
      </c>
      <c r="J127" s="80">
        <f t="shared" si="1"/>
        <v>155250</v>
      </c>
    </row>
    <row r="128" spans="1:10">
      <c r="A128" s="74" t="s">
        <v>338</v>
      </c>
      <c r="B128" s="82">
        <v>46150</v>
      </c>
      <c r="C128" s="74" t="s">
        <v>72</v>
      </c>
      <c r="D128" s="74" t="s">
        <v>46</v>
      </c>
      <c r="E128" s="74" t="s">
        <v>44</v>
      </c>
      <c r="F128" s="74" t="s">
        <v>14</v>
      </c>
      <c r="G128" s="74" t="s">
        <v>98</v>
      </c>
      <c r="H128" s="80">
        <v>145</v>
      </c>
      <c r="I128" s="84">
        <v>950</v>
      </c>
      <c r="J128" s="80">
        <f t="shared" si="1"/>
        <v>137750</v>
      </c>
    </row>
    <row r="129" spans="1:10">
      <c r="A129" s="74" t="s">
        <v>339</v>
      </c>
      <c r="B129" s="82">
        <v>46161</v>
      </c>
      <c r="C129" s="74" t="s">
        <v>72</v>
      </c>
      <c r="D129" s="74" t="s">
        <v>46</v>
      </c>
      <c r="E129" s="74" t="s">
        <v>44</v>
      </c>
      <c r="F129" s="74" t="s">
        <v>14</v>
      </c>
      <c r="G129" s="74" t="s">
        <v>144</v>
      </c>
      <c r="H129" s="80">
        <v>105</v>
      </c>
      <c r="I129" s="84">
        <v>1550</v>
      </c>
      <c r="J129" s="80">
        <f t="shared" si="1"/>
        <v>162750</v>
      </c>
    </row>
    <row r="130" spans="1:10">
      <c r="A130" s="74" t="s">
        <v>340</v>
      </c>
      <c r="B130" s="82">
        <v>46155</v>
      </c>
      <c r="C130" s="74" t="s">
        <v>74</v>
      </c>
      <c r="D130" s="74" t="s">
        <v>48</v>
      </c>
      <c r="E130" s="74" t="s">
        <v>44</v>
      </c>
      <c r="F130" s="74" t="s">
        <v>14</v>
      </c>
      <c r="G130" s="74" t="s">
        <v>169</v>
      </c>
      <c r="H130" s="80">
        <v>115</v>
      </c>
      <c r="I130" s="84">
        <v>1200</v>
      </c>
      <c r="J130" s="80">
        <f t="shared" si="1"/>
        <v>138000</v>
      </c>
    </row>
    <row r="131" spans="1:10">
      <c r="A131" s="74" t="s">
        <v>341</v>
      </c>
      <c r="B131" s="82">
        <v>46165</v>
      </c>
      <c r="C131" s="74" t="s">
        <v>74</v>
      </c>
      <c r="D131" s="74" t="s">
        <v>48</v>
      </c>
      <c r="E131" s="74" t="s">
        <v>44</v>
      </c>
      <c r="F131" s="74" t="s">
        <v>14</v>
      </c>
      <c r="G131" s="74" t="s">
        <v>191</v>
      </c>
      <c r="H131" s="80">
        <v>135</v>
      </c>
      <c r="I131" s="84">
        <v>1250</v>
      </c>
      <c r="J131" s="80">
        <f t="shared" ref="J131:J194" si="2">H131*I131</f>
        <v>168750</v>
      </c>
    </row>
    <row r="132" spans="1:10">
      <c r="A132" s="74" t="s">
        <v>342</v>
      </c>
      <c r="B132" s="82">
        <v>46147</v>
      </c>
      <c r="C132" s="74" t="s">
        <v>76</v>
      </c>
      <c r="D132" s="74" t="s">
        <v>50</v>
      </c>
      <c r="E132" s="74" t="s">
        <v>44</v>
      </c>
      <c r="F132" s="74" t="s">
        <v>14</v>
      </c>
      <c r="G132" s="74" t="s">
        <v>102</v>
      </c>
      <c r="H132" s="80">
        <v>125</v>
      </c>
      <c r="I132" s="84">
        <v>1100</v>
      </c>
      <c r="J132" s="80">
        <f t="shared" si="2"/>
        <v>137500</v>
      </c>
    </row>
    <row r="133" spans="1:10">
      <c r="A133" s="74" t="s">
        <v>343</v>
      </c>
      <c r="B133" s="82">
        <v>46164</v>
      </c>
      <c r="C133" s="74" t="s">
        <v>76</v>
      </c>
      <c r="D133" s="74" t="s">
        <v>50</v>
      </c>
      <c r="E133" s="74" t="s">
        <v>44</v>
      </c>
      <c r="F133" s="74" t="s">
        <v>14</v>
      </c>
      <c r="G133" s="74" t="s">
        <v>193</v>
      </c>
      <c r="H133" s="80">
        <v>115</v>
      </c>
      <c r="I133" s="84">
        <v>1350</v>
      </c>
      <c r="J133" s="80">
        <f t="shared" si="2"/>
        <v>155250</v>
      </c>
    </row>
    <row r="134" spans="1:10">
      <c r="A134" s="74" t="s">
        <v>344</v>
      </c>
      <c r="B134" s="82">
        <v>46177</v>
      </c>
      <c r="C134" s="74" t="s">
        <v>54</v>
      </c>
      <c r="D134" s="74" t="s">
        <v>22</v>
      </c>
      <c r="E134" s="74" t="s">
        <v>20</v>
      </c>
      <c r="F134" s="74" t="s">
        <v>4</v>
      </c>
      <c r="G134" s="74" t="s">
        <v>85</v>
      </c>
      <c r="H134" s="80">
        <v>150</v>
      </c>
      <c r="I134" s="84">
        <v>850</v>
      </c>
      <c r="J134" s="80">
        <f t="shared" si="2"/>
        <v>127500</v>
      </c>
    </row>
    <row r="135" spans="1:10">
      <c r="A135" s="74" t="s">
        <v>345</v>
      </c>
      <c r="B135" s="82">
        <v>46186</v>
      </c>
      <c r="C135" s="74" t="s">
        <v>54</v>
      </c>
      <c r="D135" s="74" t="s">
        <v>22</v>
      </c>
      <c r="E135" s="74" t="s">
        <v>20</v>
      </c>
      <c r="F135" s="74" t="s">
        <v>4</v>
      </c>
      <c r="G135" s="74" t="s">
        <v>101</v>
      </c>
      <c r="H135" s="80">
        <v>110</v>
      </c>
      <c r="I135" s="84">
        <v>1200</v>
      </c>
      <c r="J135" s="80">
        <f t="shared" si="2"/>
        <v>132000</v>
      </c>
    </row>
    <row r="136" spans="1:10">
      <c r="A136" s="74" t="s">
        <v>346</v>
      </c>
      <c r="B136" s="82">
        <v>46180</v>
      </c>
      <c r="C136" s="74" t="s">
        <v>56</v>
      </c>
      <c r="D136" s="74" t="s">
        <v>24</v>
      </c>
      <c r="E136" s="74" t="s">
        <v>20</v>
      </c>
      <c r="F136" s="74" t="s">
        <v>4</v>
      </c>
      <c r="G136" s="74" t="s">
        <v>96</v>
      </c>
      <c r="H136" s="80">
        <v>165</v>
      </c>
      <c r="I136" s="84">
        <v>900</v>
      </c>
      <c r="J136" s="80">
        <f t="shared" si="2"/>
        <v>148500</v>
      </c>
    </row>
    <row r="137" spans="1:10">
      <c r="A137" s="74" t="s">
        <v>347</v>
      </c>
      <c r="B137" s="82">
        <v>46193</v>
      </c>
      <c r="C137" s="74" t="s">
        <v>56</v>
      </c>
      <c r="D137" s="74" t="s">
        <v>24</v>
      </c>
      <c r="E137" s="74" t="s">
        <v>20</v>
      </c>
      <c r="F137" s="74" t="s">
        <v>4</v>
      </c>
      <c r="G137" s="74" t="s">
        <v>125</v>
      </c>
      <c r="H137" s="80">
        <v>90</v>
      </c>
      <c r="I137" s="84">
        <v>1800</v>
      </c>
      <c r="J137" s="80">
        <f t="shared" si="2"/>
        <v>162000</v>
      </c>
    </row>
    <row r="138" spans="1:10">
      <c r="A138" s="74" t="s">
        <v>348</v>
      </c>
      <c r="B138" s="82">
        <v>46182</v>
      </c>
      <c r="C138" s="74" t="s">
        <v>58</v>
      </c>
      <c r="D138" s="74" t="s">
        <v>26</v>
      </c>
      <c r="E138" s="74" t="s">
        <v>20</v>
      </c>
      <c r="F138" s="74" t="s">
        <v>4</v>
      </c>
      <c r="G138" s="74" t="s">
        <v>113</v>
      </c>
      <c r="H138" s="80">
        <v>105</v>
      </c>
      <c r="I138" s="84">
        <v>1450</v>
      </c>
      <c r="J138" s="80">
        <f t="shared" si="2"/>
        <v>152250</v>
      </c>
    </row>
    <row r="139" spans="1:10">
      <c r="A139" s="74" t="s">
        <v>349</v>
      </c>
      <c r="B139" s="82">
        <v>46196</v>
      </c>
      <c r="C139" s="74" t="s">
        <v>58</v>
      </c>
      <c r="D139" s="74" t="s">
        <v>26</v>
      </c>
      <c r="E139" s="74" t="s">
        <v>20</v>
      </c>
      <c r="F139" s="74" t="s">
        <v>4</v>
      </c>
      <c r="G139" s="74" t="s">
        <v>134</v>
      </c>
      <c r="H139" s="80">
        <v>115</v>
      </c>
      <c r="I139" s="84">
        <v>1050</v>
      </c>
      <c r="J139" s="80">
        <f t="shared" si="2"/>
        <v>120750</v>
      </c>
    </row>
    <row r="140" spans="1:10">
      <c r="A140" s="74" t="s">
        <v>350</v>
      </c>
      <c r="B140" s="82">
        <v>46178</v>
      </c>
      <c r="C140" s="74" t="s">
        <v>60</v>
      </c>
      <c r="D140" s="74" t="s">
        <v>30</v>
      </c>
      <c r="E140" s="74" t="s">
        <v>28</v>
      </c>
      <c r="F140" s="74" t="s">
        <v>8</v>
      </c>
      <c r="G140" s="74" t="s">
        <v>149</v>
      </c>
      <c r="H140" s="80">
        <v>130</v>
      </c>
      <c r="I140" s="84">
        <v>2200</v>
      </c>
      <c r="J140" s="80">
        <f t="shared" si="2"/>
        <v>286000</v>
      </c>
    </row>
    <row r="141" spans="1:10">
      <c r="A141" s="74" t="s">
        <v>351</v>
      </c>
      <c r="B141" s="82">
        <v>46191</v>
      </c>
      <c r="C141" s="74" t="s">
        <v>60</v>
      </c>
      <c r="D141" s="74" t="s">
        <v>30</v>
      </c>
      <c r="E141" s="74" t="s">
        <v>28</v>
      </c>
      <c r="F141" s="74" t="s">
        <v>8</v>
      </c>
      <c r="G141" s="74" t="s">
        <v>168</v>
      </c>
      <c r="H141" s="80">
        <v>150</v>
      </c>
      <c r="I141" s="84">
        <v>1500</v>
      </c>
      <c r="J141" s="80">
        <f t="shared" si="2"/>
        <v>225000</v>
      </c>
    </row>
    <row r="142" spans="1:10">
      <c r="A142" s="74" t="s">
        <v>352</v>
      </c>
      <c r="B142" s="82">
        <v>46183</v>
      </c>
      <c r="C142" s="74" t="s">
        <v>62</v>
      </c>
      <c r="D142" s="74" t="s">
        <v>32</v>
      </c>
      <c r="E142" s="74" t="s">
        <v>28</v>
      </c>
      <c r="F142" s="74" t="s">
        <v>8</v>
      </c>
      <c r="G142" s="74" t="s">
        <v>156</v>
      </c>
      <c r="H142" s="80">
        <v>110</v>
      </c>
      <c r="I142" s="84">
        <v>2400</v>
      </c>
      <c r="J142" s="80">
        <f t="shared" si="2"/>
        <v>264000</v>
      </c>
    </row>
    <row r="143" spans="1:10">
      <c r="A143" s="74" t="s">
        <v>353</v>
      </c>
      <c r="B143" s="82">
        <v>46197</v>
      </c>
      <c r="C143" s="74" t="s">
        <v>62</v>
      </c>
      <c r="D143" s="74" t="s">
        <v>32</v>
      </c>
      <c r="E143" s="74" t="s">
        <v>28</v>
      </c>
      <c r="F143" s="74" t="s">
        <v>8</v>
      </c>
      <c r="G143" s="74" t="s">
        <v>158</v>
      </c>
      <c r="H143" s="80">
        <v>90</v>
      </c>
      <c r="I143" s="84">
        <v>3300</v>
      </c>
      <c r="J143" s="80">
        <f t="shared" si="2"/>
        <v>297000</v>
      </c>
    </row>
    <row r="144" spans="1:10">
      <c r="A144" s="74" t="s">
        <v>354</v>
      </c>
      <c r="B144" s="82">
        <v>46181</v>
      </c>
      <c r="C144" s="74" t="s">
        <v>64</v>
      </c>
      <c r="D144" s="74" t="s">
        <v>34</v>
      </c>
      <c r="E144" s="74" t="s">
        <v>28</v>
      </c>
      <c r="F144" s="74" t="s">
        <v>8</v>
      </c>
      <c r="G144" s="74" t="s">
        <v>165</v>
      </c>
      <c r="H144" s="80">
        <v>135</v>
      </c>
      <c r="I144" s="84">
        <v>1250</v>
      </c>
      <c r="J144" s="80">
        <f t="shared" si="2"/>
        <v>168750</v>
      </c>
    </row>
    <row r="145" spans="1:10">
      <c r="A145" s="74" t="s">
        <v>355</v>
      </c>
      <c r="B145" s="82">
        <v>46200</v>
      </c>
      <c r="C145" s="74" t="s">
        <v>64</v>
      </c>
      <c r="D145" s="74" t="s">
        <v>34</v>
      </c>
      <c r="E145" s="74" t="s">
        <v>28</v>
      </c>
      <c r="F145" s="74" t="s">
        <v>8</v>
      </c>
      <c r="G145" s="74" t="s">
        <v>171</v>
      </c>
      <c r="H145" s="80">
        <v>120</v>
      </c>
      <c r="I145" s="84">
        <v>1400</v>
      </c>
      <c r="J145" s="80">
        <f t="shared" si="2"/>
        <v>168000</v>
      </c>
    </row>
    <row r="146" spans="1:10">
      <c r="A146" s="74" t="s">
        <v>356</v>
      </c>
      <c r="B146" s="82">
        <v>46179</v>
      </c>
      <c r="C146" s="74" t="s">
        <v>66</v>
      </c>
      <c r="D146" s="74" t="s">
        <v>38</v>
      </c>
      <c r="E146" s="74" t="s">
        <v>36</v>
      </c>
      <c r="F146" s="74" t="s">
        <v>11</v>
      </c>
      <c r="G146" s="74" t="s">
        <v>94</v>
      </c>
      <c r="H146" s="80">
        <v>125</v>
      </c>
      <c r="I146" s="84">
        <v>2700</v>
      </c>
      <c r="J146" s="80">
        <f t="shared" si="2"/>
        <v>337500</v>
      </c>
    </row>
    <row r="147" spans="1:10">
      <c r="A147" s="74" t="s">
        <v>357</v>
      </c>
      <c r="B147" s="82">
        <v>46194</v>
      </c>
      <c r="C147" s="74" t="s">
        <v>66</v>
      </c>
      <c r="D147" s="74" t="s">
        <v>38</v>
      </c>
      <c r="E147" s="74" t="s">
        <v>36</v>
      </c>
      <c r="F147" s="74" t="s">
        <v>11</v>
      </c>
      <c r="G147" s="74" t="s">
        <v>129</v>
      </c>
      <c r="H147" s="80">
        <v>105</v>
      </c>
      <c r="I147" s="84">
        <v>2400</v>
      </c>
      <c r="J147" s="80">
        <f t="shared" si="2"/>
        <v>252000</v>
      </c>
    </row>
    <row r="148" spans="1:10">
      <c r="A148" s="74" t="s">
        <v>358</v>
      </c>
      <c r="B148" s="82">
        <v>46185</v>
      </c>
      <c r="C148" s="74" t="s">
        <v>68</v>
      </c>
      <c r="D148" s="74" t="s">
        <v>40</v>
      </c>
      <c r="E148" s="74" t="s">
        <v>36</v>
      </c>
      <c r="F148" s="74" t="s">
        <v>11</v>
      </c>
      <c r="G148" s="74" t="s">
        <v>117</v>
      </c>
      <c r="H148" s="80">
        <v>100</v>
      </c>
      <c r="I148" s="84">
        <v>2600</v>
      </c>
      <c r="J148" s="80">
        <f t="shared" si="2"/>
        <v>260000</v>
      </c>
    </row>
    <row r="149" spans="1:10">
      <c r="A149" s="74" t="s">
        <v>359</v>
      </c>
      <c r="B149" s="82">
        <v>46198</v>
      </c>
      <c r="C149" s="74" t="s">
        <v>68</v>
      </c>
      <c r="D149" s="74" t="s">
        <v>40</v>
      </c>
      <c r="E149" s="74" t="s">
        <v>36</v>
      </c>
      <c r="F149" s="74" t="s">
        <v>11</v>
      </c>
      <c r="G149" s="74" t="s">
        <v>160</v>
      </c>
      <c r="H149" s="80">
        <v>115</v>
      </c>
      <c r="I149" s="84">
        <v>2900</v>
      </c>
      <c r="J149" s="80">
        <f t="shared" si="2"/>
        <v>333500</v>
      </c>
    </row>
    <row r="150" spans="1:10">
      <c r="A150" s="74" t="s">
        <v>360</v>
      </c>
      <c r="B150" s="82">
        <v>46187</v>
      </c>
      <c r="C150" s="74" t="s">
        <v>70</v>
      </c>
      <c r="D150" s="74" t="s">
        <v>42</v>
      </c>
      <c r="E150" s="74" t="s">
        <v>36</v>
      </c>
      <c r="F150" s="74" t="s">
        <v>11</v>
      </c>
      <c r="G150" s="74" t="s">
        <v>178</v>
      </c>
      <c r="H150" s="80">
        <v>190</v>
      </c>
      <c r="I150" s="84">
        <v>1100</v>
      </c>
      <c r="J150" s="80">
        <f t="shared" si="2"/>
        <v>209000</v>
      </c>
    </row>
    <row r="151" spans="1:10">
      <c r="A151" s="74" t="s">
        <v>361</v>
      </c>
      <c r="B151" s="82">
        <v>46201</v>
      </c>
      <c r="C151" s="74" t="s">
        <v>70</v>
      </c>
      <c r="D151" s="74" t="s">
        <v>42</v>
      </c>
      <c r="E151" s="74" t="s">
        <v>36</v>
      </c>
      <c r="F151" s="74" t="s">
        <v>11</v>
      </c>
      <c r="G151" s="74" t="s">
        <v>188</v>
      </c>
      <c r="H151" s="80">
        <v>125</v>
      </c>
      <c r="I151" s="84">
        <v>1050</v>
      </c>
      <c r="J151" s="80">
        <f t="shared" si="2"/>
        <v>131250</v>
      </c>
    </row>
    <row r="152" spans="1:10">
      <c r="A152" s="74" t="s">
        <v>362</v>
      </c>
      <c r="B152" s="82">
        <v>46180</v>
      </c>
      <c r="C152" s="74" t="s">
        <v>72</v>
      </c>
      <c r="D152" s="74" t="s">
        <v>46</v>
      </c>
      <c r="E152" s="74" t="s">
        <v>44</v>
      </c>
      <c r="F152" s="74" t="s">
        <v>14</v>
      </c>
      <c r="G152" s="74" t="s">
        <v>98</v>
      </c>
      <c r="H152" s="80">
        <v>155</v>
      </c>
      <c r="I152" s="84">
        <v>950</v>
      </c>
      <c r="J152" s="80">
        <f t="shared" si="2"/>
        <v>147250</v>
      </c>
    </row>
    <row r="153" spans="1:10">
      <c r="A153" s="74" t="s">
        <v>363</v>
      </c>
      <c r="B153" s="82">
        <v>46192</v>
      </c>
      <c r="C153" s="74" t="s">
        <v>72</v>
      </c>
      <c r="D153" s="74" t="s">
        <v>46</v>
      </c>
      <c r="E153" s="74" t="s">
        <v>44</v>
      </c>
      <c r="F153" s="74" t="s">
        <v>14</v>
      </c>
      <c r="G153" s="74" t="s">
        <v>144</v>
      </c>
      <c r="H153" s="80">
        <v>110</v>
      </c>
      <c r="I153" s="84">
        <v>1550</v>
      </c>
      <c r="J153" s="80">
        <f t="shared" si="2"/>
        <v>170500</v>
      </c>
    </row>
    <row r="154" spans="1:10">
      <c r="A154" s="74" t="s">
        <v>364</v>
      </c>
      <c r="B154" s="82">
        <v>46184</v>
      </c>
      <c r="C154" s="74" t="s">
        <v>74</v>
      </c>
      <c r="D154" s="74" t="s">
        <v>48</v>
      </c>
      <c r="E154" s="74" t="s">
        <v>44</v>
      </c>
      <c r="F154" s="74" t="s">
        <v>14</v>
      </c>
      <c r="G154" s="74" t="s">
        <v>169</v>
      </c>
      <c r="H154" s="80">
        <v>125</v>
      </c>
      <c r="I154" s="84">
        <v>1200</v>
      </c>
      <c r="J154" s="80">
        <f t="shared" si="2"/>
        <v>150000</v>
      </c>
    </row>
    <row r="155" spans="1:10">
      <c r="A155" s="74" t="s">
        <v>365</v>
      </c>
      <c r="B155" s="82">
        <v>46196</v>
      </c>
      <c r="C155" s="74" t="s">
        <v>74</v>
      </c>
      <c r="D155" s="74" t="s">
        <v>48</v>
      </c>
      <c r="E155" s="74" t="s">
        <v>44</v>
      </c>
      <c r="F155" s="74" t="s">
        <v>14</v>
      </c>
      <c r="G155" s="74" t="s">
        <v>191</v>
      </c>
      <c r="H155" s="80">
        <v>145</v>
      </c>
      <c r="I155" s="84">
        <v>1250</v>
      </c>
      <c r="J155" s="80">
        <f t="shared" si="2"/>
        <v>181250</v>
      </c>
    </row>
    <row r="156" spans="1:10">
      <c r="A156" s="74" t="s">
        <v>366</v>
      </c>
      <c r="B156" s="82">
        <v>46178</v>
      </c>
      <c r="C156" s="74" t="s">
        <v>76</v>
      </c>
      <c r="D156" s="74" t="s">
        <v>50</v>
      </c>
      <c r="E156" s="74" t="s">
        <v>44</v>
      </c>
      <c r="F156" s="74" t="s">
        <v>14</v>
      </c>
      <c r="G156" s="74" t="s">
        <v>102</v>
      </c>
      <c r="H156" s="80">
        <v>130</v>
      </c>
      <c r="I156" s="84">
        <v>1100</v>
      </c>
      <c r="J156" s="80">
        <f t="shared" si="2"/>
        <v>143000</v>
      </c>
    </row>
    <row r="157" spans="1:10">
      <c r="A157" s="74" t="s">
        <v>367</v>
      </c>
      <c r="B157" s="82">
        <v>46195</v>
      </c>
      <c r="C157" s="74" t="s">
        <v>76</v>
      </c>
      <c r="D157" s="74" t="s">
        <v>50</v>
      </c>
      <c r="E157" s="74" t="s">
        <v>44</v>
      </c>
      <c r="F157" s="74" t="s">
        <v>14</v>
      </c>
      <c r="G157" s="74" t="s">
        <v>193</v>
      </c>
      <c r="H157" s="80">
        <v>120</v>
      </c>
      <c r="I157" s="84">
        <v>1350</v>
      </c>
      <c r="J157" s="80">
        <f t="shared" si="2"/>
        <v>162000</v>
      </c>
    </row>
    <row r="158" spans="1:10">
      <c r="A158" s="74" t="s">
        <v>368</v>
      </c>
      <c r="B158" s="82">
        <v>46207</v>
      </c>
      <c r="C158" s="74" t="s">
        <v>54</v>
      </c>
      <c r="D158" s="74" t="s">
        <v>22</v>
      </c>
      <c r="E158" s="74" t="s">
        <v>20</v>
      </c>
      <c r="F158" s="74" t="s">
        <v>4</v>
      </c>
      <c r="G158" s="74" t="s">
        <v>85</v>
      </c>
      <c r="H158" s="80">
        <v>140</v>
      </c>
      <c r="I158" s="84">
        <v>850</v>
      </c>
      <c r="J158" s="80">
        <f t="shared" si="2"/>
        <v>119000</v>
      </c>
    </row>
    <row r="159" spans="1:10">
      <c r="A159" s="74" t="s">
        <v>369</v>
      </c>
      <c r="B159" s="82">
        <v>46215</v>
      </c>
      <c r="C159" s="74" t="s">
        <v>54</v>
      </c>
      <c r="D159" s="74" t="s">
        <v>22</v>
      </c>
      <c r="E159" s="74" t="s">
        <v>20</v>
      </c>
      <c r="F159" s="74" t="s">
        <v>4</v>
      </c>
      <c r="G159" s="74" t="s">
        <v>99</v>
      </c>
      <c r="H159" s="80">
        <v>100</v>
      </c>
      <c r="I159" s="84">
        <v>1150</v>
      </c>
      <c r="J159" s="80">
        <f t="shared" si="2"/>
        <v>115000</v>
      </c>
    </row>
    <row r="160" spans="1:10">
      <c r="A160" s="74" t="s">
        <v>370</v>
      </c>
      <c r="B160" s="82">
        <v>46211</v>
      </c>
      <c r="C160" s="74" t="s">
        <v>56</v>
      </c>
      <c r="D160" s="74" t="s">
        <v>24</v>
      </c>
      <c r="E160" s="74" t="s">
        <v>20</v>
      </c>
      <c r="F160" s="74" t="s">
        <v>4</v>
      </c>
      <c r="G160" s="74" t="s">
        <v>96</v>
      </c>
      <c r="H160" s="80">
        <v>150</v>
      </c>
      <c r="I160" s="84">
        <v>900</v>
      </c>
      <c r="J160" s="80">
        <f t="shared" si="2"/>
        <v>135000</v>
      </c>
    </row>
    <row r="161" spans="1:10">
      <c r="A161" s="74" t="s">
        <v>371</v>
      </c>
      <c r="B161" s="82">
        <v>46224</v>
      </c>
      <c r="C161" s="74" t="s">
        <v>56</v>
      </c>
      <c r="D161" s="74" t="s">
        <v>24</v>
      </c>
      <c r="E161" s="74" t="s">
        <v>20</v>
      </c>
      <c r="F161" s="74" t="s">
        <v>4</v>
      </c>
      <c r="G161" s="74" t="s">
        <v>129</v>
      </c>
      <c r="H161" s="80">
        <v>85</v>
      </c>
      <c r="I161" s="84">
        <v>2400</v>
      </c>
      <c r="J161" s="80">
        <f t="shared" si="2"/>
        <v>204000</v>
      </c>
    </row>
    <row r="162" spans="1:10">
      <c r="A162" s="74" t="s">
        <v>372</v>
      </c>
      <c r="B162" s="82">
        <v>46209</v>
      </c>
      <c r="C162" s="74" t="s">
        <v>58</v>
      </c>
      <c r="D162" s="74" t="s">
        <v>26</v>
      </c>
      <c r="E162" s="74" t="s">
        <v>20</v>
      </c>
      <c r="F162" s="74" t="s">
        <v>4</v>
      </c>
      <c r="G162" s="74" t="s">
        <v>113</v>
      </c>
      <c r="H162" s="80">
        <v>90</v>
      </c>
      <c r="I162" s="84">
        <v>1450</v>
      </c>
      <c r="J162" s="80">
        <f t="shared" si="2"/>
        <v>130500</v>
      </c>
    </row>
    <row r="163" spans="1:10">
      <c r="A163" s="74" t="s">
        <v>373</v>
      </c>
      <c r="B163" s="82">
        <v>46227</v>
      </c>
      <c r="C163" s="74" t="s">
        <v>58</v>
      </c>
      <c r="D163" s="74" t="s">
        <v>26</v>
      </c>
      <c r="E163" s="74" t="s">
        <v>20</v>
      </c>
      <c r="F163" s="74" t="s">
        <v>4</v>
      </c>
      <c r="G163" s="74" t="s">
        <v>122</v>
      </c>
      <c r="H163" s="80">
        <v>95</v>
      </c>
      <c r="I163" s="84">
        <v>1900</v>
      </c>
      <c r="J163" s="80">
        <f t="shared" si="2"/>
        <v>180500</v>
      </c>
    </row>
    <row r="164" spans="1:10">
      <c r="A164" s="74" t="s">
        <v>374</v>
      </c>
      <c r="B164" s="82">
        <v>46208</v>
      </c>
      <c r="C164" s="74" t="s">
        <v>60</v>
      </c>
      <c r="D164" s="74" t="s">
        <v>30</v>
      </c>
      <c r="E164" s="74" t="s">
        <v>28</v>
      </c>
      <c r="F164" s="74" t="s">
        <v>8</v>
      </c>
      <c r="G164" s="74" t="s">
        <v>149</v>
      </c>
      <c r="H164" s="80">
        <v>115</v>
      </c>
      <c r="I164" s="84">
        <v>2200</v>
      </c>
      <c r="J164" s="80">
        <f t="shared" si="2"/>
        <v>253000</v>
      </c>
    </row>
    <row r="165" spans="1:10">
      <c r="A165" s="74" t="s">
        <v>375</v>
      </c>
      <c r="B165" s="82">
        <v>46221</v>
      </c>
      <c r="C165" s="74" t="s">
        <v>60</v>
      </c>
      <c r="D165" s="74" t="s">
        <v>30</v>
      </c>
      <c r="E165" s="74" t="s">
        <v>28</v>
      </c>
      <c r="F165" s="74" t="s">
        <v>8</v>
      </c>
      <c r="G165" s="74" t="s">
        <v>165</v>
      </c>
      <c r="H165" s="80">
        <v>140</v>
      </c>
      <c r="I165" s="84">
        <v>1250</v>
      </c>
      <c r="J165" s="80">
        <f t="shared" si="2"/>
        <v>175000</v>
      </c>
    </row>
    <row r="166" spans="1:10">
      <c r="A166" s="74" t="s">
        <v>376</v>
      </c>
      <c r="B166" s="82">
        <v>46213</v>
      </c>
      <c r="C166" s="74" t="s">
        <v>62</v>
      </c>
      <c r="D166" s="74" t="s">
        <v>32</v>
      </c>
      <c r="E166" s="74" t="s">
        <v>28</v>
      </c>
      <c r="F166" s="74" t="s">
        <v>8</v>
      </c>
      <c r="G166" s="74" t="s">
        <v>156</v>
      </c>
      <c r="H166" s="80">
        <v>100</v>
      </c>
      <c r="I166" s="84">
        <v>2400</v>
      </c>
      <c r="J166" s="80">
        <f t="shared" si="2"/>
        <v>240000</v>
      </c>
    </row>
    <row r="167" spans="1:10">
      <c r="A167" s="74" t="s">
        <v>377</v>
      </c>
      <c r="B167" s="82">
        <v>46229</v>
      </c>
      <c r="C167" s="74" t="s">
        <v>62</v>
      </c>
      <c r="D167" s="74" t="s">
        <v>32</v>
      </c>
      <c r="E167" s="74" t="s">
        <v>28</v>
      </c>
      <c r="F167" s="74" t="s">
        <v>8</v>
      </c>
      <c r="G167" s="74" t="s">
        <v>168</v>
      </c>
      <c r="H167" s="80">
        <v>125</v>
      </c>
      <c r="I167" s="84">
        <v>1500</v>
      </c>
      <c r="J167" s="80">
        <f t="shared" si="2"/>
        <v>187500</v>
      </c>
    </row>
    <row r="168" spans="1:10">
      <c r="A168" s="74" t="s">
        <v>378</v>
      </c>
      <c r="B168" s="82">
        <v>46212</v>
      </c>
      <c r="C168" s="74" t="s">
        <v>64</v>
      </c>
      <c r="D168" s="74" t="s">
        <v>34</v>
      </c>
      <c r="E168" s="74" t="s">
        <v>28</v>
      </c>
      <c r="F168" s="74" t="s">
        <v>8</v>
      </c>
      <c r="G168" s="74" t="s">
        <v>158</v>
      </c>
      <c r="H168" s="80">
        <v>85</v>
      </c>
      <c r="I168" s="84">
        <v>3300</v>
      </c>
      <c r="J168" s="80">
        <f t="shared" si="2"/>
        <v>280500</v>
      </c>
    </row>
    <row r="169" spans="1:10">
      <c r="A169" s="74" t="s">
        <v>379</v>
      </c>
      <c r="B169" s="82">
        <v>46230</v>
      </c>
      <c r="C169" s="74" t="s">
        <v>64</v>
      </c>
      <c r="D169" s="74" t="s">
        <v>34</v>
      </c>
      <c r="E169" s="74" t="s">
        <v>28</v>
      </c>
      <c r="F169" s="74" t="s">
        <v>8</v>
      </c>
      <c r="G169" s="74" t="s">
        <v>171</v>
      </c>
      <c r="H169" s="80">
        <v>110</v>
      </c>
      <c r="I169" s="84">
        <v>1400</v>
      </c>
      <c r="J169" s="80">
        <f t="shared" si="2"/>
        <v>154000</v>
      </c>
    </row>
    <row r="170" spans="1:10">
      <c r="A170" s="74" t="s">
        <v>380</v>
      </c>
      <c r="B170" s="82">
        <v>46210</v>
      </c>
      <c r="C170" s="74" t="s">
        <v>66</v>
      </c>
      <c r="D170" s="74" t="s">
        <v>38</v>
      </c>
      <c r="E170" s="74" t="s">
        <v>36</v>
      </c>
      <c r="F170" s="74" t="s">
        <v>11</v>
      </c>
      <c r="G170" s="74" t="s">
        <v>94</v>
      </c>
      <c r="H170" s="80">
        <v>115</v>
      </c>
      <c r="I170" s="84">
        <v>2700</v>
      </c>
      <c r="J170" s="80">
        <f t="shared" si="2"/>
        <v>310500</v>
      </c>
    </row>
    <row r="171" spans="1:10">
      <c r="A171" s="74" t="s">
        <v>381</v>
      </c>
      <c r="B171" s="82">
        <v>46223</v>
      </c>
      <c r="C171" s="74" t="s">
        <v>66</v>
      </c>
      <c r="D171" s="74" t="s">
        <v>38</v>
      </c>
      <c r="E171" s="74" t="s">
        <v>36</v>
      </c>
      <c r="F171" s="74" t="s">
        <v>11</v>
      </c>
      <c r="G171" s="74" t="s">
        <v>131</v>
      </c>
      <c r="H171" s="80">
        <v>90</v>
      </c>
      <c r="I171" s="84">
        <v>2100</v>
      </c>
      <c r="J171" s="80">
        <f t="shared" si="2"/>
        <v>189000</v>
      </c>
    </row>
    <row r="172" spans="1:10">
      <c r="A172" s="74" t="s">
        <v>382</v>
      </c>
      <c r="B172" s="82">
        <v>46216</v>
      </c>
      <c r="C172" s="74" t="s">
        <v>68</v>
      </c>
      <c r="D172" s="74" t="s">
        <v>40</v>
      </c>
      <c r="E172" s="74" t="s">
        <v>36</v>
      </c>
      <c r="F172" s="74" t="s">
        <v>11</v>
      </c>
      <c r="G172" s="74" t="s">
        <v>117</v>
      </c>
      <c r="H172" s="80">
        <v>90</v>
      </c>
      <c r="I172" s="84">
        <v>2600</v>
      </c>
      <c r="J172" s="80">
        <f t="shared" si="2"/>
        <v>234000</v>
      </c>
    </row>
    <row r="173" spans="1:10">
      <c r="A173" s="74" t="s">
        <v>383</v>
      </c>
      <c r="B173" s="82">
        <v>46228</v>
      </c>
      <c r="C173" s="74" t="s">
        <v>68</v>
      </c>
      <c r="D173" s="74" t="s">
        <v>40</v>
      </c>
      <c r="E173" s="74" t="s">
        <v>36</v>
      </c>
      <c r="F173" s="74" t="s">
        <v>11</v>
      </c>
      <c r="G173" s="74" t="s">
        <v>160</v>
      </c>
      <c r="H173" s="80">
        <v>105</v>
      </c>
      <c r="I173" s="84">
        <v>2900</v>
      </c>
      <c r="J173" s="80">
        <f t="shared" si="2"/>
        <v>304500</v>
      </c>
    </row>
    <row r="174" spans="1:10">
      <c r="A174" s="74" t="s">
        <v>384</v>
      </c>
      <c r="B174" s="82">
        <v>46217</v>
      </c>
      <c r="C174" s="74" t="s">
        <v>70</v>
      </c>
      <c r="D174" s="74" t="s">
        <v>42</v>
      </c>
      <c r="E174" s="74" t="s">
        <v>36</v>
      </c>
      <c r="F174" s="74" t="s">
        <v>11</v>
      </c>
      <c r="G174" s="74" t="s">
        <v>178</v>
      </c>
      <c r="H174" s="80">
        <v>180</v>
      </c>
      <c r="I174" s="84">
        <v>1100</v>
      </c>
      <c r="J174" s="80">
        <f t="shared" si="2"/>
        <v>198000</v>
      </c>
    </row>
    <row r="175" spans="1:10">
      <c r="A175" s="74" t="s">
        <v>385</v>
      </c>
      <c r="B175" s="82">
        <v>46231</v>
      </c>
      <c r="C175" s="74" t="s">
        <v>70</v>
      </c>
      <c r="D175" s="74" t="s">
        <v>42</v>
      </c>
      <c r="E175" s="74" t="s">
        <v>36</v>
      </c>
      <c r="F175" s="74" t="s">
        <v>11</v>
      </c>
      <c r="G175" s="74" t="s">
        <v>185</v>
      </c>
      <c r="H175" s="80">
        <v>130</v>
      </c>
      <c r="I175" s="84">
        <v>1150</v>
      </c>
      <c r="J175" s="80">
        <f t="shared" si="2"/>
        <v>149500</v>
      </c>
    </row>
    <row r="176" spans="1:10">
      <c r="A176" s="74" t="s">
        <v>386</v>
      </c>
      <c r="B176" s="82">
        <v>46211</v>
      </c>
      <c r="C176" s="74" t="s">
        <v>72</v>
      </c>
      <c r="D176" s="74" t="s">
        <v>46</v>
      </c>
      <c r="E176" s="74" t="s">
        <v>44</v>
      </c>
      <c r="F176" s="74" t="s">
        <v>14</v>
      </c>
      <c r="G176" s="74" t="s">
        <v>98</v>
      </c>
      <c r="H176" s="80">
        <v>145</v>
      </c>
      <c r="I176" s="84">
        <v>950</v>
      </c>
      <c r="J176" s="80">
        <f t="shared" si="2"/>
        <v>137750</v>
      </c>
    </row>
    <row r="177" spans="1:10">
      <c r="A177" s="74" t="s">
        <v>387</v>
      </c>
      <c r="B177" s="82">
        <v>46222</v>
      </c>
      <c r="C177" s="74" t="s">
        <v>72</v>
      </c>
      <c r="D177" s="74" t="s">
        <v>46</v>
      </c>
      <c r="E177" s="74" t="s">
        <v>44</v>
      </c>
      <c r="F177" s="74" t="s">
        <v>14</v>
      </c>
      <c r="G177" s="74" t="s">
        <v>144</v>
      </c>
      <c r="H177" s="80">
        <v>100</v>
      </c>
      <c r="I177" s="84">
        <v>1550</v>
      </c>
      <c r="J177" s="80">
        <f t="shared" si="2"/>
        <v>155000</v>
      </c>
    </row>
    <row r="178" spans="1:10">
      <c r="A178" s="74" t="s">
        <v>388</v>
      </c>
      <c r="B178" s="82">
        <v>46214</v>
      </c>
      <c r="C178" s="74" t="s">
        <v>74</v>
      </c>
      <c r="D178" s="74" t="s">
        <v>48</v>
      </c>
      <c r="E178" s="74" t="s">
        <v>44</v>
      </c>
      <c r="F178" s="74" t="s">
        <v>14</v>
      </c>
      <c r="G178" s="74" t="s">
        <v>169</v>
      </c>
      <c r="H178" s="80">
        <v>115</v>
      </c>
      <c r="I178" s="84">
        <v>1200</v>
      </c>
      <c r="J178" s="80">
        <f t="shared" si="2"/>
        <v>138000</v>
      </c>
    </row>
    <row r="179" spans="1:10">
      <c r="A179" s="74" t="s">
        <v>389</v>
      </c>
      <c r="B179" s="82">
        <v>46226</v>
      </c>
      <c r="C179" s="74" t="s">
        <v>74</v>
      </c>
      <c r="D179" s="74" t="s">
        <v>48</v>
      </c>
      <c r="E179" s="74" t="s">
        <v>44</v>
      </c>
      <c r="F179" s="74" t="s">
        <v>14</v>
      </c>
      <c r="G179" s="74" t="s">
        <v>191</v>
      </c>
      <c r="H179" s="80">
        <v>135</v>
      </c>
      <c r="I179" s="84">
        <v>1250</v>
      </c>
      <c r="J179" s="80">
        <f t="shared" si="2"/>
        <v>168750</v>
      </c>
    </row>
    <row r="180" spans="1:10">
      <c r="A180" s="74" t="s">
        <v>390</v>
      </c>
      <c r="B180" s="82">
        <v>46208</v>
      </c>
      <c r="C180" s="74" t="s">
        <v>76</v>
      </c>
      <c r="D180" s="74" t="s">
        <v>50</v>
      </c>
      <c r="E180" s="74" t="s">
        <v>44</v>
      </c>
      <c r="F180" s="74" t="s">
        <v>14</v>
      </c>
      <c r="G180" s="74" t="s">
        <v>102</v>
      </c>
      <c r="H180" s="80">
        <v>120</v>
      </c>
      <c r="I180" s="84">
        <v>1100</v>
      </c>
      <c r="J180" s="80">
        <f t="shared" si="2"/>
        <v>132000</v>
      </c>
    </row>
    <row r="181" spans="1:10">
      <c r="A181" s="74" t="s">
        <v>391</v>
      </c>
      <c r="B181" s="82">
        <v>46225</v>
      </c>
      <c r="C181" s="74" t="s">
        <v>76</v>
      </c>
      <c r="D181" s="74" t="s">
        <v>50</v>
      </c>
      <c r="E181" s="74" t="s">
        <v>44</v>
      </c>
      <c r="F181" s="74" t="s">
        <v>14</v>
      </c>
      <c r="G181" s="74" t="s">
        <v>193</v>
      </c>
      <c r="H181" s="80">
        <v>105</v>
      </c>
      <c r="I181" s="84">
        <v>1350</v>
      </c>
      <c r="J181" s="80">
        <f t="shared" si="2"/>
        <v>141750</v>
      </c>
    </row>
    <row r="182" spans="1:10">
      <c r="A182" s="74" t="s">
        <v>392</v>
      </c>
      <c r="B182" s="82">
        <v>46239</v>
      </c>
      <c r="C182" s="74" t="s">
        <v>54</v>
      </c>
      <c r="D182" s="74" t="s">
        <v>22</v>
      </c>
      <c r="E182" s="74" t="s">
        <v>20</v>
      </c>
      <c r="F182" s="74" t="s">
        <v>4</v>
      </c>
      <c r="G182" s="74" t="s">
        <v>85</v>
      </c>
      <c r="H182" s="80">
        <v>155</v>
      </c>
      <c r="I182" s="84">
        <v>850</v>
      </c>
      <c r="J182" s="80">
        <f t="shared" si="2"/>
        <v>131750</v>
      </c>
    </row>
    <row r="183" spans="1:10">
      <c r="A183" s="74" t="s">
        <v>393</v>
      </c>
      <c r="B183" s="82">
        <v>46248</v>
      </c>
      <c r="C183" s="74" t="s">
        <v>54</v>
      </c>
      <c r="D183" s="74" t="s">
        <v>22</v>
      </c>
      <c r="E183" s="74" t="s">
        <v>20</v>
      </c>
      <c r="F183" s="74" t="s">
        <v>4</v>
      </c>
      <c r="G183" s="74" t="s">
        <v>101</v>
      </c>
      <c r="H183" s="80">
        <v>115</v>
      </c>
      <c r="I183" s="84">
        <v>1200</v>
      </c>
      <c r="J183" s="80">
        <f t="shared" si="2"/>
        <v>138000</v>
      </c>
    </row>
    <row r="184" spans="1:10">
      <c r="A184" s="74" t="s">
        <v>394</v>
      </c>
      <c r="B184" s="82">
        <v>46242</v>
      </c>
      <c r="C184" s="74" t="s">
        <v>56</v>
      </c>
      <c r="D184" s="74" t="s">
        <v>24</v>
      </c>
      <c r="E184" s="74" t="s">
        <v>20</v>
      </c>
      <c r="F184" s="74" t="s">
        <v>4</v>
      </c>
      <c r="G184" s="74" t="s">
        <v>96</v>
      </c>
      <c r="H184" s="80">
        <v>170</v>
      </c>
      <c r="I184" s="84">
        <v>900</v>
      </c>
      <c r="J184" s="80">
        <f t="shared" si="2"/>
        <v>153000</v>
      </c>
    </row>
    <row r="185" spans="1:10">
      <c r="A185" s="74" t="s">
        <v>395</v>
      </c>
      <c r="B185" s="82">
        <v>46255</v>
      </c>
      <c r="C185" s="74" t="s">
        <v>56</v>
      </c>
      <c r="D185" s="74" t="s">
        <v>24</v>
      </c>
      <c r="E185" s="74" t="s">
        <v>20</v>
      </c>
      <c r="F185" s="74" t="s">
        <v>4</v>
      </c>
      <c r="G185" s="74" t="s">
        <v>125</v>
      </c>
      <c r="H185" s="80">
        <v>95</v>
      </c>
      <c r="I185" s="84">
        <v>1800</v>
      </c>
      <c r="J185" s="80">
        <f t="shared" si="2"/>
        <v>171000</v>
      </c>
    </row>
    <row r="186" spans="1:10">
      <c r="A186" s="74" t="s">
        <v>396</v>
      </c>
      <c r="B186" s="82">
        <v>46241</v>
      </c>
      <c r="C186" s="74" t="s">
        <v>58</v>
      </c>
      <c r="D186" s="74" t="s">
        <v>26</v>
      </c>
      <c r="E186" s="74" t="s">
        <v>20</v>
      </c>
      <c r="F186" s="74" t="s">
        <v>4</v>
      </c>
      <c r="G186" s="74" t="s">
        <v>113</v>
      </c>
      <c r="H186" s="80">
        <v>110</v>
      </c>
      <c r="I186" s="84">
        <v>1450</v>
      </c>
      <c r="J186" s="80">
        <f t="shared" si="2"/>
        <v>159500</v>
      </c>
    </row>
    <row r="187" spans="1:10">
      <c r="A187" s="74" t="s">
        <v>397</v>
      </c>
      <c r="B187" s="82">
        <v>46258</v>
      </c>
      <c r="C187" s="74" t="s">
        <v>58</v>
      </c>
      <c r="D187" s="74" t="s">
        <v>26</v>
      </c>
      <c r="E187" s="74" t="s">
        <v>20</v>
      </c>
      <c r="F187" s="74" t="s">
        <v>4</v>
      </c>
      <c r="G187" s="74" t="s">
        <v>134</v>
      </c>
      <c r="H187" s="80">
        <v>120</v>
      </c>
      <c r="I187" s="84">
        <v>1050</v>
      </c>
      <c r="J187" s="80">
        <f t="shared" si="2"/>
        <v>126000</v>
      </c>
    </row>
    <row r="188" spans="1:10">
      <c r="A188" s="74" t="s">
        <v>398</v>
      </c>
      <c r="B188" s="82">
        <v>46238</v>
      </c>
      <c r="C188" s="74" t="s">
        <v>60</v>
      </c>
      <c r="D188" s="74" t="s">
        <v>30</v>
      </c>
      <c r="E188" s="74" t="s">
        <v>28</v>
      </c>
      <c r="F188" s="74" t="s">
        <v>8</v>
      </c>
      <c r="G188" s="74" t="s">
        <v>149</v>
      </c>
      <c r="H188" s="80">
        <v>135</v>
      </c>
      <c r="I188" s="84">
        <v>2200</v>
      </c>
      <c r="J188" s="80">
        <f t="shared" si="2"/>
        <v>297000</v>
      </c>
    </row>
    <row r="189" spans="1:10">
      <c r="A189" s="74" t="s">
        <v>399</v>
      </c>
      <c r="B189" s="82">
        <v>46252</v>
      </c>
      <c r="C189" s="74" t="s">
        <v>60</v>
      </c>
      <c r="D189" s="74" t="s">
        <v>30</v>
      </c>
      <c r="E189" s="74" t="s">
        <v>28</v>
      </c>
      <c r="F189" s="74" t="s">
        <v>8</v>
      </c>
      <c r="G189" s="74" t="s">
        <v>168</v>
      </c>
      <c r="H189" s="80">
        <v>155</v>
      </c>
      <c r="I189" s="84">
        <v>1500</v>
      </c>
      <c r="J189" s="80">
        <f t="shared" si="2"/>
        <v>232500</v>
      </c>
    </row>
    <row r="190" spans="1:10">
      <c r="A190" s="74" t="s">
        <v>400</v>
      </c>
      <c r="B190" s="82">
        <v>46244</v>
      </c>
      <c r="C190" s="74" t="s">
        <v>62</v>
      </c>
      <c r="D190" s="74" t="s">
        <v>32</v>
      </c>
      <c r="E190" s="74" t="s">
        <v>28</v>
      </c>
      <c r="F190" s="74" t="s">
        <v>8</v>
      </c>
      <c r="G190" s="74" t="s">
        <v>156</v>
      </c>
      <c r="H190" s="80">
        <v>115</v>
      </c>
      <c r="I190" s="84">
        <v>2400</v>
      </c>
      <c r="J190" s="80">
        <f t="shared" si="2"/>
        <v>276000</v>
      </c>
    </row>
    <row r="191" spans="1:10">
      <c r="A191" s="74" t="s">
        <v>401</v>
      </c>
      <c r="B191" s="82">
        <v>46260</v>
      </c>
      <c r="C191" s="74" t="s">
        <v>62</v>
      </c>
      <c r="D191" s="74" t="s">
        <v>32</v>
      </c>
      <c r="E191" s="74" t="s">
        <v>28</v>
      </c>
      <c r="F191" s="74" t="s">
        <v>8</v>
      </c>
      <c r="G191" s="74" t="s">
        <v>158</v>
      </c>
      <c r="H191" s="80">
        <v>95</v>
      </c>
      <c r="I191" s="84">
        <v>3300</v>
      </c>
      <c r="J191" s="80">
        <f t="shared" si="2"/>
        <v>313500</v>
      </c>
    </row>
    <row r="192" spans="1:10">
      <c r="A192" s="74" t="s">
        <v>402</v>
      </c>
      <c r="B192" s="82">
        <v>46243</v>
      </c>
      <c r="C192" s="74" t="s">
        <v>64</v>
      </c>
      <c r="D192" s="74" t="s">
        <v>34</v>
      </c>
      <c r="E192" s="74" t="s">
        <v>28</v>
      </c>
      <c r="F192" s="74" t="s">
        <v>8</v>
      </c>
      <c r="G192" s="74" t="s">
        <v>165</v>
      </c>
      <c r="H192" s="80">
        <v>140</v>
      </c>
      <c r="I192" s="84">
        <v>1250</v>
      </c>
      <c r="J192" s="80">
        <f t="shared" si="2"/>
        <v>175000</v>
      </c>
    </row>
    <row r="193" spans="1:10">
      <c r="A193" s="74" t="s">
        <v>403</v>
      </c>
      <c r="B193" s="82">
        <v>46261</v>
      </c>
      <c r="C193" s="74" t="s">
        <v>64</v>
      </c>
      <c r="D193" s="74" t="s">
        <v>34</v>
      </c>
      <c r="E193" s="74" t="s">
        <v>28</v>
      </c>
      <c r="F193" s="74" t="s">
        <v>8</v>
      </c>
      <c r="G193" s="74" t="s">
        <v>171</v>
      </c>
      <c r="H193" s="80">
        <v>125</v>
      </c>
      <c r="I193" s="84">
        <v>1400</v>
      </c>
      <c r="J193" s="80">
        <f t="shared" si="2"/>
        <v>175000</v>
      </c>
    </row>
    <row r="194" spans="1:10">
      <c r="A194" s="74" t="s">
        <v>404</v>
      </c>
      <c r="B194" s="82">
        <v>46240</v>
      </c>
      <c r="C194" s="74" t="s">
        <v>66</v>
      </c>
      <c r="D194" s="74" t="s">
        <v>38</v>
      </c>
      <c r="E194" s="74" t="s">
        <v>36</v>
      </c>
      <c r="F194" s="74" t="s">
        <v>11</v>
      </c>
      <c r="G194" s="74" t="s">
        <v>94</v>
      </c>
      <c r="H194" s="80">
        <v>130</v>
      </c>
      <c r="I194" s="84">
        <v>2700</v>
      </c>
      <c r="J194" s="80">
        <f t="shared" si="2"/>
        <v>351000</v>
      </c>
    </row>
    <row r="195" spans="1:10">
      <c r="A195" s="74" t="s">
        <v>405</v>
      </c>
      <c r="B195" s="82">
        <v>46254</v>
      </c>
      <c r="C195" s="74" t="s">
        <v>66</v>
      </c>
      <c r="D195" s="74" t="s">
        <v>38</v>
      </c>
      <c r="E195" s="74" t="s">
        <v>36</v>
      </c>
      <c r="F195" s="74" t="s">
        <v>11</v>
      </c>
      <c r="G195" s="74" t="s">
        <v>129</v>
      </c>
      <c r="H195" s="80">
        <v>110</v>
      </c>
      <c r="I195" s="84">
        <v>2400</v>
      </c>
      <c r="J195" s="80">
        <f t="shared" ref="J195:J258" si="3">H195*I195</f>
        <v>264000</v>
      </c>
    </row>
    <row r="196" spans="1:10">
      <c r="A196" s="74" t="s">
        <v>406</v>
      </c>
      <c r="B196" s="82">
        <v>46246</v>
      </c>
      <c r="C196" s="74" t="s">
        <v>68</v>
      </c>
      <c r="D196" s="74" t="s">
        <v>40</v>
      </c>
      <c r="E196" s="74" t="s">
        <v>36</v>
      </c>
      <c r="F196" s="74" t="s">
        <v>11</v>
      </c>
      <c r="G196" s="74" t="s">
        <v>117</v>
      </c>
      <c r="H196" s="80">
        <v>105</v>
      </c>
      <c r="I196" s="84">
        <v>2600</v>
      </c>
      <c r="J196" s="80">
        <f t="shared" si="3"/>
        <v>273000</v>
      </c>
    </row>
    <row r="197" spans="1:10">
      <c r="A197" s="74" t="s">
        <v>407</v>
      </c>
      <c r="B197" s="82">
        <v>46259</v>
      </c>
      <c r="C197" s="74" t="s">
        <v>68</v>
      </c>
      <c r="D197" s="74" t="s">
        <v>40</v>
      </c>
      <c r="E197" s="74" t="s">
        <v>36</v>
      </c>
      <c r="F197" s="74" t="s">
        <v>11</v>
      </c>
      <c r="G197" s="74" t="s">
        <v>160</v>
      </c>
      <c r="H197" s="80">
        <v>120</v>
      </c>
      <c r="I197" s="84">
        <v>2900</v>
      </c>
      <c r="J197" s="80">
        <f t="shared" si="3"/>
        <v>348000</v>
      </c>
    </row>
    <row r="198" spans="1:10">
      <c r="A198" s="74" t="s">
        <v>408</v>
      </c>
      <c r="B198" s="82">
        <v>46249</v>
      </c>
      <c r="C198" s="74" t="s">
        <v>70</v>
      </c>
      <c r="D198" s="74" t="s">
        <v>42</v>
      </c>
      <c r="E198" s="74" t="s">
        <v>36</v>
      </c>
      <c r="F198" s="74" t="s">
        <v>11</v>
      </c>
      <c r="G198" s="74" t="s">
        <v>178</v>
      </c>
      <c r="H198" s="80">
        <v>195</v>
      </c>
      <c r="I198" s="84">
        <v>1100</v>
      </c>
      <c r="J198" s="80">
        <f t="shared" si="3"/>
        <v>214500</v>
      </c>
    </row>
    <row r="199" spans="1:10">
      <c r="A199" s="74" t="s">
        <v>409</v>
      </c>
      <c r="B199" s="82">
        <v>46262</v>
      </c>
      <c r="C199" s="74" t="s">
        <v>70</v>
      </c>
      <c r="D199" s="74" t="s">
        <v>42</v>
      </c>
      <c r="E199" s="74" t="s">
        <v>36</v>
      </c>
      <c r="F199" s="74" t="s">
        <v>11</v>
      </c>
      <c r="G199" s="74" t="s">
        <v>188</v>
      </c>
      <c r="H199" s="80">
        <v>135</v>
      </c>
      <c r="I199" s="84">
        <v>1050</v>
      </c>
      <c r="J199" s="80">
        <f t="shared" si="3"/>
        <v>141750</v>
      </c>
    </row>
    <row r="200" spans="1:10">
      <c r="A200" s="74" t="s">
        <v>410</v>
      </c>
      <c r="B200" s="82">
        <v>46242</v>
      </c>
      <c r="C200" s="74" t="s">
        <v>72</v>
      </c>
      <c r="D200" s="74" t="s">
        <v>46</v>
      </c>
      <c r="E200" s="74" t="s">
        <v>44</v>
      </c>
      <c r="F200" s="74" t="s">
        <v>14</v>
      </c>
      <c r="G200" s="74" t="s">
        <v>98</v>
      </c>
      <c r="H200" s="80">
        <v>160</v>
      </c>
      <c r="I200" s="84">
        <v>950</v>
      </c>
      <c r="J200" s="80">
        <f t="shared" si="3"/>
        <v>152000</v>
      </c>
    </row>
    <row r="201" spans="1:10">
      <c r="A201" s="74" t="s">
        <v>411</v>
      </c>
      <c r="B201" s="82">
        <v>46253</v>
      </c>
      <c r="C201" s="74" t="s">
        <v>72</v>
      </c>
      <c r="D201" s="74" t="s">
        <v>46</v>
      </c>
      <c r="E201" s="74" t="s">
        <v>44</v>
      </c>
      <c r="F201" s="74" t="s">
        <v>14</v>
      </c>
      <c r="G201" s="74" t="s">
        <v>144</v>
      </c>
      <c r="H201" s="80">
        <v>115</v>
      </c>
      <c r="I201" s="84">
        <v>1550</v>
      </c>
      <c r="J201" s="80">
        <f t="shared" si="3"/>
        <v>178250</v>
      </c>
    </row>
    <row r="202" spans="1:10">
      <c r="A202" s="74" t="s">
        <v>412</v>
      </c>
      <c r="B202" s="82">
        <v>46247</v>
      </c>
      <c r="C202" s="74" t="s">
        <v>74</v>
      </c>
      <c r="D202" s="74" t="s">
        <v>48</v>
      </c>
      <c r="E202" s="74" t="s">
        <v>44</v>
      </c>
      <c r="F202" s="74" t="s">
        <v>14</v>
      </c>
      <c r="G202" s="74" t="s">
        <v>169</v>
      </c>
      <c r="H202" s="80">
        <v>130</v>
      </c>
      <c r="I202" s="84">
        <v>1200</v>
      </c>
      <c r="J202" s="80">
        <f t="shared" si="3"/>
        <v>156000</v>
      </c>
    </row>
    <row r="203" spans="1:10">
      <c r="A203" s="74" t="s">
        <v>413</v>
      </c>
      <c r="B203" s="82">
        <v>46257</v>
      </c>
      <c r="C203" s="74" t="s">
        <v>74</v>
      </c>
      <c r="D203" s="74" t="s">
        <v>48</v>
      </c>
      <c r="E203" s="74" t="s">
        <v>44</v>
      </c>
      <c r="F203" s="74" t="s">
        <v>14</v>
      </c>
      <c r="G203" s="74" t="s">
        <v>191</v>
      </c>
      <c r="H203" s="80">
        <v>150</v>
      </c>
      <c r="I203" s="84">
        <v>1250</v>
      </c>
      <c r="J203" s="80">
        <f t="shared" si="3"/>
        <v>187500</v>
      </c>
    </row>
    <row r="204" spans="1:10">
      <c r="A204" s="74" t="s">
        <v>414</v>
      </c>
      <c r="B204" s="82">
        <v>46239</v>
      </c>
      <c r="C204" s="74" t="s">
        <v>76</v>
      </c>
      <c r="D204" s="74" t="s">
        <v>50</v>
      </c>
      <c r="E204" s="74" t="s">
        <v>44</v>
      </c>
      <c r="F204" s="74" t="s">
        <v>14</v>
      </c>
      <c r="G204" s="74" t="s">
        <v>102</v>
      </c>
      <c r="H204" s="80">
        <v>135</v>
      </c>
      <c r="I204" s="84">
        <v>1100</v>
      </c>
      <c r="J204" s="80">
        <f t="shared" si="3"/>
        <v>148500</v>
      </c>
    </row>
    <row r="205" spans="1:10">
      <c r="A205" s="74" t="s">
        <v>415</v>
      </c>
      <c r="B205" s="82">
        <v>46256</v>
      </c>
      <c r="C205" s="74" t="s">
        <v>76</v>
      </c>
      <c r="D205" s="74" t="s">
        <v>50</v>
      </c>
      <c r="E205" s="74" t="s">
        <v>44</v>
      </c>
      <c r="F205" s="74" t="s">
        <v>14</v>
      </c>
      <c r="G205" s="74" t="s">
        <v>193</v>
      </c>
      <c r="H205" s="80">
        <v>125</v>
      </c>
      <c r="I205" s="84">
        <v>1350</v>
      </c>
      <c r="J205" s="80">
        <f t="shared" si="3"/>
        <v>168750</v>
      </c>
    </row>
    <row r="206" spans="1:10">
      <c r="A206" s="74" t="s">
        <v>416</v>
      </c>
      <c r="B206" s="82">
        <v>46269</v>
      </c>
      <c r="C206" s="74" t="s">
        <v>54</v>
      </c>
      <c r="D206" s="74" t="s">
        <v>22</v>
      </c>
      <c r="E206" s="74" t="s">
        <v>20</v>
      </c>
      <c r="F206" s="74" t="s">
        <v>4</v>
      </c>
      <c r="G206" s="74" t="s">
        <v>85</v>
      </c>
      <c r="H206" s="80">
        <v>160</v>
      </c>
      <c r="I206" s="84">
        <v>850</v>
      </c>
      <c r="J206" s="80">
        <f t="shared" si="3"/>
        <v>136000</v>
      </c>
    </row>
    <row r="207" spans="1:10">
      <c r="A207" s="74" t="s">
        <v>417</v>
      </c>
      <c r="B207" s="82">
        <v>46277</v>
      </c>
      <c r="C207" s="74" t="s">
        <v>54</v>
      </c>
      <c r="D207" s="74" t="s">
        <v>22</v>
      </c>
      <c r="E207" s="74" t="s">
        <v>20</v>
      </c>
      <c r="F207" s="74" t="s">
        <v>4</v>
      </c>
      <c r="G207" s="74" t="s">
        <v>99</v>
      </c>
      <c r="H207" s="80">
        <v>120</v>
      </c>
      <c r="I207" s="84">
        <v>1150</v>
      </c>
      <c r="J207" s="80">
        <f t="shared" si="3"/>
        <v>138000</v>
      </c>
    </row>
    <row r="208" spans="1:10">
      <c r="A208" s="74" t="s">
        <v>418</v>
      </c>
      <c r="B208" s="82">
        <v>46273</v>
      </c>
      <c r="C208" s="74" t="s">
        <v>56</v>
      </c>
      <c r="D208" s="74" t="s">
        <v>24</v>
      </c>
      <c r="E208" s="74" t="s">
        <v>20</v>
      </c>
      <c r="F208" s="74" t="s">
        <v>4</v>
      </c>
      <c r="G208" s="74" t="s">
        <v>96</v>
      </c>
      <c r="H208" s="80">
        <v>175</v>
      </c>
      <c r="I208" s="84">
        <v>900</v>
      </c>
      <c r="J208" s="80">
        <f t="shared" si="3"/>
        <v>157500</v>
      </c>
    </row>
    <row r="209" spans="1:10">
      <c r="A209" s="74" t="s">
        <v>419</v>
      </c>
      <c r="B209" s="82">
        <v>46286</v>
      </c>
      <c r="C209" s="74" t="s">
        <v>56</v>
      </c>
      <c r="D209" s="74" t="s">
        <v>24</v>
      </c>
      <c r="E209" s="74" t="s">
        <v>20</v>
      </c>
      <c r="F209" s="74" t="s">
        <v>4</v>
      </c>
      <c r="G209" s="74" t="s">
        <v>129</v>
      </c>
      <c r="H209" s="80">
        <v>100</v>
      </c>
      <c r="I209" s="84">
        <v>2400</v>
      </c>
      <c r="J209" s="80">
        <f t="shared" si="3"/>
        <v>240000</v>
      </c>
    </row>
    <row r="210" spans="1:10">
      <c r="A210" s="74" t="s">
        <v>420</v>
      </c>
      <c r="B210" s="82">
        <v>46271</v>
      </c>
      <c r="C210" s="74" t="s">
        <v>58</v>
      </c>
      <c r="D210" s="74" t="s">
        <v>26</v>
      </c>
      <c r="E210" s="74" t="s">
        <v>20</v>
      </c>
      <c r="F210" s="74" t="s">
        <v>4</v>
      </c>
      <c r="G210" s="74" t="s">
        <v>113</v>
      </c>
      <c r="H210" s="80">
        <v>115</v>
      </c>
      <c r="I210" s="84">
        <v>1450</v>
      </c>
      <c r="J210" s="80">
        <f t="shared" si="3"/>
        <v>166750</v>
      </c>
    </row>
    <row r="211" spans="1:10">
      <c r="A211" s="74" t="s">
        <v>421</v>
      </c>
      <c r="B211" s="82">
        <v>46289</v>
      </c>
      <c r="C211" s="74" t="s">
        <v>58</v>
      </c>
      <c r="D211" s="74" t="s">
        <v>26</v>
      </c>
      <c r="E211" s="74" t="s">
        <v>20</v>
      </c>
      <c r="F211" s="74" t="s">
        <v>4</v>
      </c>
      <c r="G211" s="74" t="s">
        <v>122</v>
      </c>
      <c r="H211" s="80">
        <v>105</v>
      </c>
      <c r="I211" s="84">
        <v>1900</v>
      </c>
      <c r="J211" s="80">
        <f t="shared" si="3"/>
        <v>199500</v>
      </c>
    </row>
    <row r="212" spans="1:10">
      <c r="A212" s="74" t="s">
        <v>422</v>
      </c>
      <c r="B212" s="82">
        <v>46270</v>
      </c>
      <c r="C212" s="74" t="s">
        <v>60</v>
      </c>
      <c r="D212" s="74" t="s">
        <v>30</v>
      </c>
      <c r="E212" s="74" t="s">
        <v>28</v>
      </c>
      <c r="F212" s="74" t="s">
        <v>8</v>
      </c>
      <c r="G212" s="74" t="s">
        <v>149</v>
      </c>
      <c r="H212" s="80">
        <v>140</v>
      </c>
      <c r="I212" s="84">
        <v>2200</v>
      </c>
      <c r="J212" s="80">
        <f t="shared" si="3"/>
        <v>308000</v>
      </c>
    </row>
    <row r="213" spans="1:10">
      <c r="A213" s="74" t="s">
        <v>423</v>
      </c>
      <c r="B213" s="82">
        <v>46283</v>
      </c>
      <c r="C213" s="74" t="s">
        <v>60</v>
      </c>
      <c r="D213" s="74" t="s">
        <v>30</v>
      </c>
      <c r="E213" s="74" t="s">
        <v>28</v>
      </c>
      <c r="F213" s="74" t="s">
        <v>8</v>
      </c>
      <c r="G213" s="74" t="s">
        <v>165</v>
      </c>
      <c r="H213" s="80">
        <v>160</v>
      </c>
      <c r="I213" s="84">
        <v>1250</v>
      </c>
      <c r="J213" s="80">
        <f t="shared" si="3"/>
        <v>200000</v>
      </c>
    </row>
    <row r="214" spans="1:10">
      <c r="A214" s="74" t="s">
        <v>424</v>
      </c>
      <c r="B214" s="82">
        <v>46275</v>
      </c>
      <c r="C214" s="74" t="s">
        <v>62</v>
      </c>
      <c r="D214" s="74" t="s">
        <v>32</v>
      </c>
      <c r="E214" s="74" t="s">
        <v>28</v>
      </c>
      <c r="F214" s="74" t="s">
        <v>8</v>
      </c>
      <c r="G214" s="74" t="s">
        <v>156</v>
      </c>
      <c r="H214" s="80">
        <v>120</v>
      </c>
      <c r="I214" s="84">
        <v>2400</v>
      </c>
      <c r="J214" s="80">
        <f t="shared" si="3"/>
        <v>288000</v>
      </c>
    </row>
    <row r="215" spans="1:10">
      <c r="A215" s="74" t="s">
        <v>425</v>
      </c>
      <c r="B215" s="82">
        <v>46291</v>
      </c>
      <c r="C215" s="74" t="s">
        <v>62</v>
      </c>
      <c r="D215" s="74" t="s">
        <v>32</v>
      </c>
      <c r="E215" s="74" t="s">
        <v>28</v>
      </c>
      <c r="F215" s="74" t="s">
        <v>8</v>
      </c>
      <c r="G215" s="74" t="s">
        <v>168</v>
      </c>
      <c r="H215" s="80">
        <v>135</v>
      </c>
      <c r="I215" s="84">
        <v>1500</v>
      </c>
      <c r="J215" s="80">
        <f t="shared" si="3"/>
        <v>202500</v>
      </c>
    </row>
    <row r="216" spans="1:10">
      <c r="A216" s="74" t="s">
        <v>426</v>
      </c>
      <c r="B216" s="82">
        <v>46274</v>
      </c>
      <c r="C216" s="74" t="s">
        <v>64</v>
      </c>
      <c r="D216" s="74" t="s">
        <v>34</v>
      </c>
      <c r="E216" s="74" t="s">
        <v>28</v>
      </c>
      <c r="F216" s="74" t="s">
        <v>8</v>
      </c>
      <c r="G216" s="74" t="s">
        <v>158</v>
      </c>
      <c r="H216" s="80">
        <v>100</v>
      </c>
      <c r="I216" s="84">
        <v>3300</v>
      </c>
      <c r="J216" s="80">
        <f t="shared" si="3"/>
        <v>330000</v>
      </c>
    </row>
    <row r="217" spans="1:10">
      <c r="A217" s="74" t="s">
        <v>427</v>
      </c>
      <c r="B217" s="82">
        <v>46292</v>
      </c>
      <c r="C217" s="74" t="s">
        <v>64</v>
      </c>
      <c r="D217" s="74" t="s">
        <v>34</v>
      </c>
      <c r="E217" s="74" t="s">
        <v>28</v>
      </c>
      <c r="F217" s="74" t="s">
        <v>8</v>
      </c>
      <c r="G217" s="74" t="s">
        <v>171</v>
      </c>
      <c r="H217" s="80">
        <v>130</v>
      </c>
      <c r="I217" s="84">
        <v>1400</v>
      </c>
      <c r="J217" s="80">
        <f t="shared" si="3"/>
        <v>182000</v>
      </c>
    </row>
    <row r="218" spans="1:10">
      <c r="A218" s="74" t="s">
        <v>428</v>
      </c>
      <c r="B218" s="82">
        <v>46272</v>
      </c>
      <c r="C218" s="74" t="s">
        <v>66</v>
      </c>
      <c r="D218" s="74" t="s">
        <v>38</v>
      </c>
      <c r="E218" s="74" t="s">
        <v>36</v>
      </c>
      <c r="F218" s="74" t="s">
        <v>11</v>
      </c>
      <c r="G218" s="74" t="s">
        <v>94</v>
      </c>
      <c r="H218" s="80">
        <v>135</v>
      </c>
      <c r="I218" s="84">
        <v>2700</v>
      </c>
      <c r="J218" s="80">
        <f t="shared" si="3"/>
        <v>364500</v>
      </c>
    </row>
    <row r="219" spans="1:10">
      <c r="A219" s="74" t="s">
        <v>429</v>
      </c>
      <c r="B219" s="82">
        <v>46285</v>
      </c>
      <c r="C219" s="74" t="s">
        <v>66</v>
      </c>
      <c r="D219" s="74" t="s">
        <v>38</v>
      </c>
      <c r="E219" s="74" t="s">
        <v>36</v>
      </c>
      <c r="F219" s="74" t="s">
        <v>11</v>
      </c>
      <c r="G219" s="74" t="s">
        <v>131</v>
      </c>
      <c r="H219" s="80">
        <v>105</v>
      </c>
      <c r="I219" s="84">
        <v>2100</v>
      </c>
      <c r="J219" s="80">
        <f t="shared" si="3"/>
        <v>220500</v>
      </c>
    </row>
    <row r="220" spans="1:10">
      <c r="A220" s="74" t="s">
        <v>430</v>
      </c>
      <c r="B220" s="82">
        <v>46278</v>
      </c>
      <c r="C220" s="74" t="s">
        <v>68</v>
      </c>
      <c r="D220" s="74" t="s">
        <v>40</v>
      </c>
      <c r="E220" s="74" t="s">
        <v>36</v>
      </c>
      <c r="F220" s="74" t="s">
        <v>11</v>
      </c>
      <c r="G220" s="74" t="s">
        <v>117</v>
      </c>
      <c r="H220" s="80">
        <v>110</v>
      </c>
      <c r="I220" s="84">
        <v>2600</v>
      </c>
      <c r="J220" s="80">
        <f t="shared" si="3"/>
        <v>286000</v>
      </c>
    </row>
    <row r="221" spans="1:10">
      <c r="A221" s="74" t="s">
        <v>431</v>
      </c>
      <c r="B221" s="82">
        <v>46290</v>
      </c>
      <c r="C221" s="74" t="s">
        <v>68</v>
      </c>
      <c r="D221" s="74" t="s">
        <v>40</v>
      </c>
      <c r="E221" s="74" t="s">
        <v>36</v>
      </c>
      <c r="F221" s="74" t="s">
        <v>11</v>
      </c>
      <c r="G221" s="74" t="s">
        <v>160</v>
      </c>
      <c r="H221" s="80">
        <v>125</v>
      </c>
      <c r="I221" s="84">
        <v>2900</v>
      </c>
      <c r="J221" s="80">
        <f t="shared" si="3"/>
        <v>362500</v>
      </c>
    </row>
    <row r="222" spans="1:10">
      <c r="A222" s="74" t="s">
        <v>432</v>
      </c>
      <c r="B222" s="82">
        <v>46279</v>
      </c>
      <c r="C222" s="74" t="s">
        <v>70</v>
      </c>
      <c r="D222" s="74" t="s">
        <v>42</v>
      </c>
      <c r="E222" s="74" t="s">
        <v>36</v>
      </c>
      <c r="F222" s="74" t="s">
        <v>11</v>
      </c>
      <c r="G222" s="74" t="s">
        <v>178</v>
      </c>
      <c r="H222" s="80">
        <v>200</v>
      </c>
      <c r="I222" s="84">
        <v>1100</v>
      </c>
      <c r="J222" s="80">
        <f t="shared" si="3"/>
        <v>220000</v>
      </c>
    </row>
    <row r="223" spans="1:10">
      <c r="A223" s="74" t="s">
        <v>433</v>
      </c>
      <c r="B223" s="82">
        <v>46293</v>
      </c>
      <c r="C223" s="74" t="s">
        <v>70</v>
      </c>
      <c r="D223" s="74" t="s">
        <v>42</v>
      </c>
      <c r="E223" s="74" t="s">
        <v>36</v>
      </c>
      <c r="F223" s="74" t="s">
        <v>11</v>
      </c>
      <c r="G223" s="74" t="s">
        <v>185</v>
      </c>
      <c r="H223" s="80">
        <v>140</v>
      </c>
      <c r="I223" s="84">
        <v>1150</v>
      </c>
      <c r="J223" s="80">
        <f t="shared" si="3"/>
        <v>161000</v>
      </c>
    </row>
    <row r="224" spans="1:10">
      <c r="A224" s="74" t="s">
        <v>434</v>
      </c>
      <c r="B224" s="82">
        <v>46273</v>
      </c>
      <c r="C224" s="74" t="s">
        <v>72</v>
      </c>
      <c r="D224" s="74" t="s">
        <v>46</v>
      </c>
      <c r="E224" s="74" t="s">
        <v>44</v>
      </c>
      <c r="F224" s="74" t="s">
        <v>14</v>
      </c>
      <c r="G224" s="74" t="s">
        <v>98</v>
      </c>
      <c r="H224" s="80">
        <v>165</v>
      </c>
      <c r="I224" s="84">
        <v>950</v>
      </c>
      <c r="J224" s="80">
        <f t="shared" si="3"/>
        <v>156750</v>
      </c>
    </row>
    <row r="225" spans="1:10">
      <c r="A225" s="74" t="s">
        <v>435</v>
      </c>
      <c r="B225" s="82">
        <v>46284</v>
      </c>
      <c r="C225" s="74" t="s">
        <v>72</v>
      </c>
      <c r="D225" s="74" t="s">
        <v>46</v>
      </c>
      <c r="E225" s="74" t="s">
        <v>44</v>
      </c>
      <c r="F225" s="74" t="s">
        <v>14</v>
      </c>
      <c r="G225" s="74" t="s">
        <v>144</v>
      </c>
      <c r="H225" s="80">
        <v>120</v>
      </c>
      <c r="I225" s="84">
        <v>1550</v>
      </c>
      <c r="J225" s="80">
        <f t="shared" si="3"/>
        <v>186000</v>
      </c>
    </row>
    <row r="226" spans="1:10">
      <c r="A226" s="74" t="s">
        <v>436</v>
      </c>
      <c r="B226" s="82">
        <v>46276</v>
      </c>
      <c r="C226" s="74" t="s">
        <v>74</v>
      </c>
      <c r="D226" s="74" t="s">
        <v>48</v>
      </c>
      <c r="E226" s="74" t="s">
        <v>44</v>
      </c>
      <c r="F226" s="74" t="s">
        <v>14</v>
      </c>
      <c r="G226" s="74" t="s">
        <v>169</v>
      </c>
      <c r="H226" s="80">
        <v>135</v>
      </c>
      <c r="I226" s="84">
        <v>1200</v>
      </c>
      <c r="J226" s="80">
        <f t="shared" si="3"/>
        <v>162000</v>
      </c>
    </row>
    <row r="227" spans="1:10">
      <c r="A227" s="74" t="s">
        <v>437</v>
      </c>
      <c r="B227" s="82">
        <v>46288</v>
      </c>
      <c r="C227" s="74" t="s">
        <v>74</v>
      </c>
      <c r="D227" s="74" t="s">
        <v>48</v>
      </c>
      <c r="E227" s="74" t="s">
        <v>44</v>
      </c>
      <c r="F227" s="74" t="s">
        <v>14</v>
      </c>
      <c r="G227" s="74" t="s">
        <v>191</v>
      </c>
      <c r="H227" s="80">
        <v>155</v>
      </c>
      <c r="I227" s="84">
        <v>1250</v>
      </c>
      <c r="J227" s="80">
        <f t="shared" si="3"/>
        <v>193750</v>
      </c>
    </row>
    <row r="228" spans="1:10">
      <c r="A228" s="74" t="s">
        <v>438</v>
      </c>
      <c r="B228" s="82">
        <v>46270</v>
      </c>
      <c r="C228" s="74" t="s">
        <v>76</v>
      </c>
      <c r="D228" s="74" t="s">
        <v>50</v>
      </c>
      <c r="E228" s="74" t="s">
        <v>44</v>
      </c>
      <c r="F228" s="74" t="s">
        <v>14</v>
      </c>
      <c r="G228" s="74" t="s">
        <v>102</v>
      </c>
      <c r="H228" s="80">
        <v>140</v>
      </c>
      <c r="I228" s="84">
        <v>1100</v>
      </c>
      <c r="J228" s="80">
        <f t="shared" si="3"/>
        <v>154000</v>
      </c>
    </row>
    <row r="229" spans="1:10">
      <c r="A229" s="74" t="s">
        <v>439</v>
      </c>
      <c r="B229" s="82">
        <v>46287</v>
      </c>
      <c r="C229" s="74" t="s">
        <v>76</v>
      </c>
      <c r="D229" s="74" t="s">
        <v>50</v>
      </c>
      <c r="E229" s="74" t="s">
        <v>44</v>
      </c>
      <c r="F229" s="74" t="s">
        <v>14</v>
      </c>
      <c r="G229" s="74" t="s">
        <v>193</v>
      </c>
      <c r="H229" s="80">
        <v>130</v>
      </c>
      <c r="I229" s="84">
        <v>1350</v>
      </c>
      <c r="J229" s="80">
        <f t="shared" si="3"/>
        <v>175500</v>
      </c>
    </row>
    <row r="230" spans="1:10">
      <c r="A230" s="74" t="s">
        <v>440</v>
      </c>
      <c r="B230" s="82">
        <v>46300</v>
      </c>
      <c r="C230" s="74" t="s">
        <v>54</v>
      </c>
      <c r="D230" s="74" t="s">
        <v>22</v>
      </c>
      <c r="E230" s="74" t="s">
        <v>20</v>
      </c>
      <c r="F230" s="74" t="s">
        <v>4</v>
      </c>
      <c r="G230" s="74" t="s">
        <v>85</v>
      </c>
      <c r="H230" s="80">
        <v>175</v>
      </c>
      <c r="I230" s="84">
        <v>850</v>
      </c>
      <c r="J230" s="80">
        <f t="shared" si="3"/>
        <v>148750</v>
      </c>
    </row>
    <row r="231" spans="1:10">
      <c r="A231" s="74" t="s">
        <v>441</v>
      </c>
      <c r="B231" s="82">
        <v>46309</v>
      </c>
      <c r="C231" s="74" t="s">
        <v>54</v>
      </c>
      <c r="D231" s="74" t="s">
        <v>22</v>
      </c>
      <c r="E231" s="74" t="s">
        <v>20</v>
      </c>
      <c r="F231" s="74" t="s">
        <v>4</v>
      </c>
      <c r="G231" s="74" t="s">
        <v>101</v>
      </c>
      <c r="H231" s="80">
        <v>125</v>
      </c>
      <c r="I231" s="84">
        <v>1200</v>
      </c>
      <c r="J231" s="80">
        <f t="shared" si="3"/>
        <v>150000</v>
      </c>
    </row>
    <row r="232" spans="1:10">
      <c r="A232" s="74" t="s">
        <v>442</v>
      </c>
      <c r="B232" s="82">
        <v>46303</v>
      </c>
      <c r="C232" s="74" t="s">
        <v>56</v>
      </c>
      <c r="D232" s="74" t="s">
        <v>24</v>
      </c>
      <c r="E232" s="74" t="s">
        <v>20</v>
      </c>
      <c r="F232" s="74" t="s">
        <v>4</v>
      </c>
      <c r="G232" s="74" t="s">
        <v>96</v>
      </c>
      <c r="H232" s="80">
        <v>185</v>
      </c>
      <c r="I232" s="84">
        <v>900</v>
      </c>
      <c r="J232" s="80">
        <f t="shared" si="3"/>
        <v>166500</v>
      </c>
    </row>
    <row r="233" spans="1:10">
      <c r="A233" s="74" t="s">
        <v>443</v>
      </c>
      <c r="B233" s="82">
        <v>46316</v>
      </c>
      <c r="C233" s="74" t="s">
        <v>56</v>
      </c>
      <c r="D233" s="74" t="s">
        <v>24</v>
      </c>
      <c r="E233" s="74" t="s">
        <v>20</v>
      </c>
      <c r="F233" s="74" t="s">
        <v>4</v>
      </c>
      <c r="G233" s="74" t="s">
        <v>125</v>
      </c>
      <c r="H233" s="80">
        <v>105</v>
      </c>
      <c r="I233" s="84">
        <v>1800</v>
      </c>
      <c r="J233" s="80">
        <f t="shared" si="3"/>
        <v>189000</v>
      </c>
    </row>
    <row r="234" spans="1:10">
      <c r="A234" s="74" t="s">
        <v>444</v>
      </c>
      <c r="B234" s="82">
        <v>46302</v>
      </c>
      <c r="C234" s="74" t="s">
        <v>58</v>
      </c>
      <c r="D234" s="74" t="s">
        <v>26</v>
      </c>
      <c r="E234" s="74" t="s">
        <v>20</v>
      </c>
      <c r="F234" s="74" t="s">
        <v>4</v>
      </c>
      <c r="G234" s="74" t="s">
        <v>113</v>
      </c>
      <c r="H234" s="80">
        <v>120</v>
      </c>
      <c r="I234" s="84">
        <v>1450</v>
      </c>
      <c r="J234" s="80">
        <f t="shared" si="3"/>
        <v>174000</v>
      </c>
    </row>
    <row r="235" spans="1:10">
      <c r="A235" s="74" t="s">
        <v>445</v>
      </c>
      <c r="B235" s="82">
        <v>46319</v>
      </c>
      <c r="C235" s="74" t="s">
        <v>58</v>
      </c>
      <c r="D235" s="74" t="s">
        <v>26</v>
      </c>
      <c r="E235" s="74" t="s">
        <v>20</v>
      </c>
      <c r="F235" s="74" t="s">
        <v>4</v>
      </c>
      <c r="G235" s="74" t="s">
        <v>134</v>
      </c>
      <c r="H235" s="80">
        <v>130</v>
      </c>
      <c r="I235" s="84">
        <v>1050</v>
      </c>
      <c r="J235" s="80">
        <f t="shared" si="3"/>
        <v>136500</v>
      </c>
    </row>
    <row r="236" spans="1:10">
      <c r="A236" s="74" t="s">
        <v>446</v>
      </c>
      <c r="B236" s="82">
        <v>46299</v>
      </c>
      <c r="C236" s="74" t="s">
        <v>60</v>
      </c>
      <c r="D236" s="74" t="s">
        <v>30</v>
      </c>
      <c r="E236" s="74" t="s">
        <v>28</v>
      </c>
      <c r="F236" s="74" t="s">
        <v>8</v>
      </c>
      <c r="G236" s="74" t="s">
        <v>149</v>
      </c>
      <c r="H236" s="80">
        <v>150</v>
      </c>
      <c r="I236" s="84">
        <v>2200</v>
      </c>
      <c r="J236" s="80">
        <f t="shared" si="3"/>
        <v>330000</v>
      </c>
    </row>
    <row r="237" spans="1:10">
      <c r="A237" s="74" t="s">
        <v>447</v>
      </c>
      <c r="B237" s="82">
        <v>46313</v>
      </c>
      <c r="C237" s="74" t="s">
        <v>60</v>
      </c>
      <c r="D237" s="74" t="s">
        <v>30</v>
      </c>
      <c r="E237" s="74" t="s">
        <v>28</v>
      </c>
      <c r="F237" s="74" t="s">
        <v>8</v>
      </c>
      <c r="G237" s="74" t="s">
        <v>168</v>
      </c>
      <c r="H237" s="80">
        <v>170</v>
      </c>
      <c r="I237" s="84">
        <v>1500</v>
      </c>
      <c r="J237" s="80">
        <f t="shared" si="3"/>
        <v>255000</v>
      </c>
    </row>
    <row r="238" spans="1:10">
      <c r="A238" s="74" t="s">
        <v>448</v>
      </c>
      <c r="B238" s="82">
        <v>46305</v>
      </c>
      <c r="C238" s="74" t="s">
        <v>62</v>
      </c>
      <c r="D238" s="74" t="s">
        <v>32</v>
      </c>
      <c r="E238" s="74" t="s">
        <v>28</v>
      </c>
      <c r="F238" s="74" t="s">
        <v>8</v>
      </c>
      <c r="G238" s="74" t="s">
        <v>156</v>
      </c>
      <c r="H238" s="80">
        <v>130</v>
      </c>
      <c r="I238" s="84">
        <v>2400</v>
      </c>
      <c r="J238" s="80">
        <f t="shared" si="3"/>
        <v>312000</v>
      </c>
    </row>
    <row r="239" spans="1:10">
      <c r="A239" s="74" t="s">
        <v>449</v>
      </c>
      <c r="B239" s="82">
        <v>46321</v>
      </c>
      <c r="C239" s="74" t="s">
        <v>62</v>
      </c>
      <c r="D239" s="74" t="s">
        <v>32</v>
      </c>
      <c r="E239" s="74" t="s">
        <v>28</v>
      </c>
      <c r="F239" s="74" t="s">
        <v>8</v>
      </c>
      <c r="G239" s="74" t="s">
        <v>158</v>
      </c>
      <c r="H239" s="80">
        <v>105</v>
      </c>
      <c r="I239" s="84">
        <v>3300</v>
      </c>
      <c r="J239" s="80">
        <f t="shared" si="3"/>
        <v>346500</v>
      </c>
    </row>
    <row r="240" spans="1:10">
      <c r="A240" s="74" t="s">
        <v>450</v>
      </c>
      <c r="B240" s="82">
        <v>46304</v>
      </c>
      <c r="C240" s="74" t="s">
        <v>64</v>
      </c>
      <c r="D240" s="74" t="s">
        <v>34</v>
      </c>
      <c r="E240" s="74" t="s">
        <v>28</v>
      </c>
      <c r="F240" s="74" t="s">
        <v>8</v>
      </c>
      <c r="G240" s="74" t="s">
        <v>165</v>
      </c>
      <c r="H240" s="80">
        <v>150</v>
      </c>
      <c r="I240" s="84">
        <v>1250</v>
      </c>
      <c r="J240" s="80">
        <f t="shared" si="3"/>
        <v>187500</v>
      </c>
    </row>
    <row r="241" spans="1:10">
      <c r="A241" s="74" t="s">
        <v>451</v>
      </c>
      <c r="B241" s="82">
        <v>46322</v>
      </c>
      <c r="C241" s="74" t="s">
        <v>64</v>
      </c>
      <c r="D241" s="74" t="s">
        <v>34</v>
      </c>
      <c r="E241" s="74" t="s">
        <v>28</v>
      </c>
      <c r="F241" s="74" t="s">
        <v>8</v>
      </c>
      <c r="G241" s="74" t="s">
        <v>171</v>
      </c>
      <c r="H241" s="80">
        <v>135</v>
      </c>
      <c r="I241" s="84">
        <v>1400</v>
      </c>
      <c r="J241" s="80">
        <f t="shared" si="3"/>
        <v>189000</v>
      </c>
    </row>
    <row r="242" spans="1:10">
      <c r="A242" s="74" t="s">
        <v>452</v>
      </c>
      <c r="B242" s="82">
        <v>46301</v>
      </c>
      <c r="C242" s="74" t="s">
        <v>66</v>
      </c>
      <c r="D242" s="74" t="s">
        <v>38</v>
      </c>
      <c r="E242" s="74" t="s">
        <v>36</v>
      </c>
      <c r="F242" s="74" t="s">
        <v>11</v>
      </c>
      <c r="G242" s="74" t="s">
        <v>94</v>
      </c>
      <c r="H242" s="80">
        <v>145</v>
      </c>
      <c r="I242" s="84">
        <v>2700</v>
      </c>
      <c r="J242" s="80">
        <f t="shared" si="3"/>
        <v>391500</v>
      </c>
    </row>
    <row r="243" spans="1:10">
      <c r="A243" s="74" t="s">
        <v>453</v>
      </c>
      <c r="B243" s="82">
        <v>46315</v>
      </c>
      <c r="C243" s="74" t="s">
        <v>66</v>
      </c>
      <c r="D243" s="74" t="s">
        <v>38</v>
      </c>
      <c r="E243" s="74" t="s">
        <v>36</v>
      </c>
      <c r="F243" s="74" t="s">
        <v>11</v>
      </c>
      <c r="G243" s="74" t="s">
        <v>129</v>
      </c>
      <c r="H243" s="80">
        <v>120</v>
      </c>
      <c r="I243" s="84">
        <v>2400</v>
      </c>
      <c r="J243" s="80">
        <f t="shared" si="3"/>
        <v>288000</v>
      </c>
    </row>
    <row r="244" spans="1:10">
      <c r="A244" s="74" t="s">
        <v>454</v>
      </c>
      <c r="B244" s="82">
        <v>46307</v>
      </c>
      <c r="C244" s="74" t="s">
        <v>68</v>
      </c>
      <c r="D244" s="74" t="s">
        <v>40</v>
      </c>
      <c r="E244" s="74" t="s">
        <v>36</v>
      </c>
      <c r="F244" s="74" t="s">
        <v>11</v>
      </c>
      <c r="G244" s="74" t="s">
        <v>117</v>
      </c>
      <c r="H244" s="80">
        <v>120</v>
      </c>
      <c r="I244" s="84">
        <v>2600</v>
      </c>
      <c r="J244" s="80">
        <f t="shared" si="3"/>
        <v>312000</v>
      </c>
    </row>
    <row r="245" spans="1:10">
      <c r="A245" s="74" t="s">
        <v>455</v>
      </c>
      <c r="B245" s="82">
        <v>46320</v>
      </c>
      <c r="C245" s="74" t="s">
        <v>68</v>
      </c>
      <c r="D245" s="74" t="s">
        <v>40</v>
      </c>
      <c r="E245" s="74" t="s">
        <v>36</v>
      </c>
      <c r="F245" s="74" t="s">
        <v>11</v>
      </c>
      <c r="G245" s="74" t="s">
        <v>160</v>
      </c>
      <c r="H245" s="80">
        <v>135</v>
      </c>
      <c r="I245" s="84">
        <v>2900</v>
      </c>
      <c r="J245" s="80">
        <f t="shared" si="3"/>
        <v>391500</v>
      </c>
    </row>
    <row r="246" spans="1:10">
      <c r="A246" s="74" t="s">
        <v>456</v>
      </c>
      <c r="B246" s="82">
        <v>46310</v>
      </c>
      <c r="C246" s="74" t="s">
        <v>70</v>
      </c>
      <c r="D246" s="74" t="s">
        <v>42</v>
      </c>
      <c r="E246" s="74" t="s">
        <v>36</v>
      </c>
      <c r="F246" s="74" t="s">
        <v>11</v>
      </c>
      <c r="G246" s="74" t="s">
        <v>178</v>
      </c>
      <c r="H246" s="80">
        <v>210</v>
      </c>
      <c r="I246" s="84">
        <v>1100</v>
      </c>
      <c r="J246" s="80">
        <f t="shared" si="3"/>
        <v>231000</v>
      </c>
    </row>
    <row r="247" spans="1:10">
      <c r="A247" s="74" t="s">
        <v>457</v>
      </c>
      <c r="B247" s="82">
        <v>46323</v>
      </c>
      <c r="C247" s="74" t="s">
        <v>70</v>
      </c>
      <c r="D247" s="74" t="s">
        <v>42</v>
      </c>
      <c r="E247" s="74" t="s">
        <v>36</v>
      </c>
      <c r="F247" s="74" t="s">
        <v>11</v>
      </c>
      <c r="G247" s="74" t="s">
        <v>188</v>
      </c>
      <c r="H247" s="80">
        <v>150</v>
      </c>
      <c r="I247" s="84">
        <v>1050</v>
      </c>
      <c r="J247" s="80">
        <f t="shared" si="3"/>
        <v>157500</v>
      </c>
    </row>
    <row r="248" spans="1:10">
      <c r="A248" s="74" t="s">
        <v>458</v>
      </c>
      <c r="B248" s="82">
        <v>46303</v>
      </c>
      <c r="C248" s="74" t="s">
        <v>72</v>
      </c>
      <c r="D248" s="74" t="s">
        <v>46</v>
      </c>
      <c r="E248" s="74" t="s">
        <v>44</v>
      </c>
      <c r="F248" s="74" t="s">
        <v>14</v>
      </c>
      <c r="G248" s="74" t="s">
        <v>98</v>
      </c>
      <c r="H248" s="80">
        <v>175</v>
      </c>
      <c r="I248" s="84">
        <v>950</v>
      </c>
      <c r="J248" s="80">
        <f t="shared" si="3"/>
        <v>166250</v>
      </c>
    </row>
    <row r="249" spans="1:10">
      <c r="A249" s="74" t="s">
        <v>459</v>
      </c>
      <c r="B249" s="82">
        <v>46314</v>
      </c>
      <c r="C249" s="74" t="s">
        <v>72</v>
      </c>
      <c r="D249" s="74" t="s">
        <v>46</v>
      </c>
      <c r="E249" s="74" t="s">
        <v>44</v>
      </c>
      <c r="F249" s="74" t="s">
        <v>14</v>
      </c>
      <c r="G249" s="74" t="s">
        <v>144</v>
      </c>
      <c r="H249" s="80">
        <v>130</v>
      </c>
      <c r="I249" s="84">
        <v>1550</v>
      </c>
      <c r="J249" s="80">
        <f t="shared" si="3"/>
        <v>201500</v>
      </c>
    </row>
    <row r="250" spans="1:10">
      <c r="A250" s="74" t="s">
        <v>460</v>
      </c>
      <c r="B250" s="82">
        <v>46308</v>
      </c>
      <c r="C250" s="74" t="s">
        <v>74</v>
      </c>
      <c r="D250" s="74" t="s">
        <v>48</v>
      </c>
      <c r="E250" s="74" t="s">
        <v>44</v>
      </c>
      <c r="F250" s="74" t="s">
        <v>14</v>
      </c>
      <c r="G250" s="74" t="s">
        <v>169</v>
      </c>
      <c r="H250" s="80">
        <v>145</v>
      </c>
      <c r="I250" s="84">
        <v>1200</v>
      </c>
      <c r="J250" s="80">
        <f t="shared" si="3"/>
        <v>174000</v>
      </c>
    </row>
    <row r="251" spans="1:10">
      <c r="A251" s="74" t="s">
        <v>461</v>
      </c>
      <c r="B251" s="82">
        <v>46318</v>
      </c>
      <c r="C251" s="74" t="s">
        <v>74</v>
      </c>
      <c r="D251" s="74" t="s">
        <v>48</v>
      </c>
      <c r="E251" s="74" t="s">
        <v>44</v>
      </c>
      <c r="F251" s="74" t="s">
        <v>14</v>
      </c>
      <c r="G251" s="74" t="s">
        <v>191</v>
      </c>
      <c r="H251" s="80">
        <v>165</v>
      </c>
      <c r="I251" s="84">
        <v>1250</v>
      </c>
      <c r="J251" s="80">
        <f t="shared" si="3"/>
        <v>206250</v>
      </c>
    </row>
    <row r="252" spans="1:10">
      <c r="A252" s="74" t="s">
        <v>462</v>
      </c>
      <c r="B252" s="82">
        <v>46300</v>
      </c>
      <c r="C252" s="74" t="s">
        <v>76</v>
      </c>
      <c r="D252" s="74" t="s">
        <v>50</v>
      </c>
      <c r="E252" s="74" t="s">
        <v>44</v>
      </c>
      <c r="F252" s="74" t="s">
        <v>14</v>
      </c>
      <c r="G252" s="74" t="s">
        <v>102</v>
      </c>
      <c r="H252" s="80">
        <v>150</v>
      </c>
      <c r="I252" s="84">
        <v>1100</v>
      </c>
      <c r="J252" s="80">
        <f t="shared" si="3"/>
        <v>165000</v>
      </c>
    </row>
    <row r="253" spans="1:10">
      <c r="A253" s="74" t="s">
        <v>463</v>
      </c>
      <c r="B253" s="82">
        <v>46317</v>
      </c>
      <c r="C253" s="74" t="s">
        <v>76</v>
      </c>
      <c r="D253" s="74" t="s">
        <v>50</v>
      </c>
      <c r="E253" s="74" t="s">
        <v>44</v>
      </c>
      <c r="F253" s="74" t="s">
        <v>14</v>
      </c>
      <c r="G253" s="74" t="s">
        <v>193</v>
      </c>
      <c r="H253" s="80">
        <v>140</v>
      </c>
      <c r="I253" s="84">
        <v>1350</v>
      </c>
      <c r="J253" s="80">
        <f t="shared" si="3"/>
        <v>189000</v>
      </c>
    </row>
    <row r="254" spans="1:10">
      <c r="A254" s="74" t="s">
        <v>464</v>
      </c>
      <c r="B254" s="82">
        <v>46330</v>
      </c>
      <c r="C254" s="74" t="s">
        <v>54</v>
      </c>
      <c r="D254" s="74" t="s">
        <v>22</v>
      </c>
      <c r="E254" s="74" t="s">
        <v>20</v>
      </c>
      <c r="F254" s="74" t="s">
        <v>4</v>
      </c>
      <c r="G254" s="74" t="s">
        <v>85</v>
      </c>
      <c r="H254" s="80">
        <v>190</v>
      </c>
      <c r="I254" s="84">
        <v>850</v>
      </c>
      <c r="J254" s="80">
        <f t="shared" si="3"/>
        <v>161500</v>
      </c>
    </row>
    <row r="255" spans="1:10">
      <c r="A255" s="74" t="s">
        <v>465</v>
      </c>
      <c r="B255" s="82">
        <v>46339</v>
      </c>
      <c r="C255" s="74" t="s">
        <v>54</v>
      </c>
      <c r="D255" s="74" t="s">
        <v>22</v>
      </c>
      <c r="E255" s="74" t="s">
        <v>20</v>
      </c>
      <c r="F255" s="74" t="s">
        <v>4</v>
      </c>
      <c r="G255" s="74" t="s">
        <v>99</v>
      </c>
      <c r="H255" s="80">
        <v>135</v>
      </c>
      <c r="I255" s="84">
        <v>1150</v>
      </c>
      <c r="J255" s="80">
        <f t="shared" si="3"/>
        <v>155250</v>
      </c>
    </row>
    <row r="256" spans="1:10">
      <c r="A256" s="74" t="s">
        <v>466</v>
      </c>
      <c r="B256" s="82">
        <v>46333</v>
      </c>
      <c r="C256" s="74" t="s">
        <v>56</v>
      </c>
      <c r="D256" s="74" t="s">
        <v>24</v>
      </c>
      <c r="E256" s="74" t="s">
        <v>20</v>
      </c>
      <c r="F256" s="74" t="s">
        <v>4</v>
      </c>
      <c r="G256" s="74" t="s">
        <v>96</v>
      </c>
      <c r="H256" s="80">
        <v>195</v>
      </c>
      <c r="I256" s="84">
        <v>900</v>
      </c>
      <c r="J256" s="80">
        <f t="shared" si="3"/>
        <v>175500</v>
      </c>
    </row>
    <row r="257" spans="1:10">
      <c r="A257" s="74" t="s">
        <v>467</v>
      </c>
      <c r="B257" s="82">
        <v>46346</v>
      </c>
      <c r="C257" s="74" t="s">
        <v>56</v>
      </c>
      <c r="D257" s="74" t="s">
        <v>24</v>
      </c>
      <c r="E257" s="74" t="s">
        <v>20</v>
      </c>
      <c r="F257" s="74" t="s">
        <v>4</v>
      </c>
      <c r="G257" s="74" t="s">
        <v>129</v>
      </c>
      <c r="H257" s="80">
        <v>115</v>
      </c>
      <c r="I257" s="84">
        <v>2400</v>
      </c>
      <c r="J257" s="80">
        <f t="shared" si="3"/>
        <v>276000</v>
      </c>
    </row>
    <row r="258" spans="1:10">
      <c r="A258" s="74" t="s">
        <v>468</v>
      </c>
      <c r="B258" s="82">
        <v>46335</v>
      </c>
      <c r="C258" s="74" t="s">
        <v>58</v>
      </c>
      <c r="D258" s="74" t="s">
        <v>26</v>
      </c>
      <c r="E258" s="74" t="s">
        <v>20</v>
      </c>
      <c r="F258" s="74" t="s">
        <v>4</v>
      </c>
      <c r="G258" s="74" t="s">
        <v>113</v>
      </c>
      <c r="H258" s="80">
        <v>130</v>
      </c>
      <c r="I258" s="84">
        <v>1450</v>
      </c>
      <c r="J258" s="80">
        <f t="shared" si="3"/>
        <v>188500</v>
      </c>
    </row>
    <row r="259" spans="1:10">
      <c r="A259" s="74" t="s">
        <v>469</v>
      </c>
      <c r="B259" s="82">
        <v>46349</v>
      </c>
      <c r="C259" s="74" t="s">
        <v>58</v>
      </c>
      <c r="D259" s="74" t="s">
        <v>26</v>
      </c>
      <c r="E259" s="74" t="s">
        <v>20</v>
      </c>
      <c r="F259" s="74" t="s">
        <v>4</v>
      </c>
      <c r="G259" s="74" t="s">
        <v>122</v>
      </c>
      <c r="H259" s="80">
        <v>120</v>
      </c>
      <c r="I259" s="84">
        <v>1900</v>
      </c>
      <c r="J259" s="80">
        <f t="shared" ref="J259:J301" si="4">H259*I259</f>
        <v>228000</v>
      </c>
    </row>
    <row r="260" spans="1:10">
      <c r="A260" s="74" t="s">
        <v>470</v>
      </c>
      <c r="B260" s="82">
        <v>46331</v>
      </c>
      <c r="C260" s="74" t="s">
        <v>60</v>
      </c>
      <c r="D260" s="74" t="s">
        <v>30</v>
      </c>
      <c r="E260" s="74" t="s">
        <v>28</v>
      </c>
      <c r="F260" s="74" t="s">
        <v>8</v>
      </c>
      <c r="G260" s="74" t="s">
        <v>149</v>
      </c>
      <c r="H260" s="80">
        <v>165</v>
      </c>
      <c r="I260" s="84">
        <v>2200</v>
      </c>
      <c r="J260" s="80">
        <f t="shared" si="4"/>
        <v>363000</v>
      </c>
    </row>
    <row r="261" spans="1:10">
      <c r="A261" s="74" t="s">
        <v>471</v>
      </c>
      <c r="B261" s="82">
        <v>46343</v>
      </c>
      <c r="C261" s="74" t="s">
        <v>60</v>
      </c>
      <c r="D261" s="74" t="s">
        <v>30</v>
      </c>
      <c r="E261" s="74" t="s">
        <v>28</v>
      </c>
      <c r="F261" s="74" t="s">
        <v>8</v>
      </c>
      <c r="G261" s="74" t="s">
        <v>165</v>
      </c>
      <c r="H261" s="80">
        <v>180</v>
      </c>
      <c r="I261" s="84">
        <v>1250</v>
      </c>
      <c r="J261" s="80">
        <f t="shared" si="4"/>
        <v>225000</v>
      </c>
    </row>
    <row r="262" spans="1:10">
      <c r="A262" s="74" t="s">
        <v>472</v>
      </c>
      <c r="B262" s="82">
        <v>46336</v>
      </c>
      <c r="C262" s="74" t="s">
        <v>62</v>
      </c>
      <c r="D262" s="74" t="s">
        <v>32</v>
      </c>
      <c r="E262" s="74" t="s">
        <v>28</v>
      </c>
      <c r="F262" s="74" t="s">
        <v>8</v>
      </c>
      <c r="G262" s="74" t="s">
        <v>156</v>
      </c>
      <c r="H262" s="80">
        <v>140</v>
      </c>
      <c r="I262" s="84">
        <v>2400</v>
      </c>
      <c r="J262" s="80">
        <f t="shared" si="4"/>
        <v>336000</v>
      </c>
    </row>
    <row r="263" spans="1:10">
      <c r="A263" s="74" t="s">
        <v>473</v>
      </c>
      <c r="B263" s="82">
        <v>46350</v>
      </c>
      <c r="C263" s="74" t="s">
        <v>62</v>
      </c>
      <c r="D263" s="74" t="s">
        <v>32</v>
      </c>
      <c r="E263" s="74" t="s">
        <v>28</v>
      </c>
      <c r="F263" s="74" t="s">
        <v>8</v>
      </c>
      <c r="G263" s="74" t="s">
        <v>168</v>
      </c>
      <c r="H263" s="80">
        <v>150</v>
      </c>
      <c r="I263" s="84">
        <v>1500</v>
      </c>
      <c r="J263" s="80">
        <f t="shared" si="4"/>
        <v>225000</v>
      </c>
    </row>
    <row r="264" spans="1:10">
      <c r="A264" s="74" t="s">
        <v>474</v>
      </c>
      <c r="B264" s="82">
        <v>46334</v>
      </c>
      <c r="C264" s="74" t="s">
        <v>64</v>
      </c>
      <c r="D264" s="74" t="s">
        <v>34</v>
      </c>
      <c r="E264" s="74" t="s">
        <v>28</v>
      </c>
      <c r="F264" s="74" t="s">
        <v>8</v>
      </c>
      <c r="G264" s="74" t="s">
        <v>158</v>
      </c>
      <c r="H264" s="80">
        <v>115</v>
      </c>
      <c r="I264" s="84">
        <v>3300</v>
      </c>
      <c r="J264" s="80">
        <f t="shared" si="4"/>
        <v>379500</v>
      </c>
    </row>
    <row r="265" spans="1:10">
      <c r="A265" s="74" t="s">
        <v>475</v>
      </c>
      <c r="B265" s="82">
        <v>46352</v>
      </c>
      <c r="C265" s="74" t="s">
        <v>64</v>
      </c>
      <c r="D265" s="74" t="s">
        <v>34</v>
      </c>
      <c r="E265" s="74" t="s">
        <v>28</v>
      </c>
      <c r="F265" s="74" t="s">
        <v>8</v>
      </c>
      <c r="G265" s="74" t="s">
        <v>171</v>
      </c>
      <c r="H265" s="80">
        <v>145</v>
      </c>
      <c r="I265" s="84">
        <v>1400</v>
      </c>
      <c r="J265" s="80">
        <f t="shared" si="4"/>
        <v>203000</v>
      </c>
    </row>
    <row r="266" spans="1:10">
      <c r="A266" s="74" t="s">
        <v>476</v>
      </c>
      <c r="B266" s="82">
        <v>46332</v>
      </c>
      <c r="C266" s="74" t="s">
        <v>66</v>
      </c>
      <c r="D266" s="74" t="s">
        <v>38</v>
      </c>
      <c r="E266" s="74" t="s">
        <v>36</v>
      </c>
      <c r="F266" s="74" t="s">
        <v>11</v>
      </c>
      <c r="G266" s="74" t="s">
        <v>94</v>
      </c>
      <c r="H266" s="80">
        <v>155</v>
      </c>
      <c r="I266" s="84">
        <v>2700</v>
      </c>
      <c r="J266" s="80">
        <f t="shared" si="4"/>
        <v>418500</v>
      </c>
    </row>
    <row r="267" spans="1:10">
      <c r="A267" s="74" t="s">
        <v>477</v>
      </c>
      <c r="B267" s="82">
        <v>46346</v>
      </c>
      <c r="C267" s="74" t="s">
        <v>66</v>
      </c>
      <c r="D267" s="74" t="s">
        <v>38</v>
      </c>
      <c r="E267" s="74" t="s">
        <v>36</v>
      </c>
      <c r="F267" s="74" t="s">
        <v>11</v>
      </c>
      <c r="G267" s="74" t="s">
        <v>131</v>
      </c>
      <c r="H267" s="80">
        <v>115</v>
      </c>
      <c r="I267" s="84">
        <v>2100</v>
      </c>
      <c r="J267" s="80">
        <f t="shared" si="4"/>
        <v>241500</v>
      </c>
    </row>
    <row r="268" spans="1:10">
      <c r="A268" s="74" t="s">
        <v>478</v>
      </c>
      <c r="B268" s="82">
        <v>46338</v>
      </c>
      <c r="C268" s="74" t="s">
        <v>68</v>
      </c>
      <c r="D268" s="74" t="s">
        <v>40</v>
      </c>
      <c r="E268" s="74" t="s">
        <v>36</v>
      </c>
      <c r="F268" s="74" t="s">
        <v>11</v>
      </c>
      <c r="G268" s="74" t="s">
        <v>117</v>
      </c>
      <c r="H268" s="80">
        <v>130</v>
      </c>
      <c r="I268" s="84">
        <v>2600</v>
      </c>
      <c r="J268" s="80">
        <f t="shared" si="4"/>
        <v>338000</v>
      </c>
    </row>
    <row r="269" spans="1:10">
      <c r="A269" s="74" t="s">
        <v>479</v>
      </c>
      <c r="B269" s="82">
        <v>46351</v>
      </c>
      <c r="C269" s="74" t="s">
        <v>68</v>
      </c>
      <c r="D269" s="74" t="s">
        <v>40</v>
      </c>
      <c r="E269" s="74" t="s">
        <v>36</v>
      </c>
      <c r="F269" s="74" t="s">
        <v>11</v>
      </c>
      <c r="G269" s="74" t="s">
        <v>160</v>
      </c>
      <c r="H269" s="80">
        <v>145</v>
      </c>
      <c r="I269" s="84">
        <v>2900</v>
      </c>
      <c r="J269" s="80">
        <f t="shared" si="4"/>
        <v>420500</v>
      </c>
    </row>
    <row r="270" spans="1:10">
      <c r="A270" s="74" t="s">
        <v>480</v>
      </c>
      <c r="B270" s="82">
        <v>46340</v>
      </c>
      <c r="C270" s="74" t="s">
        <v>70</v>
      </c>
      <c r="D270" s="74" t="s">
        <v>42</v>
      </c>
      <c r="E270" s="74" t="s">
        <v>36</v>
      </c>
      <c r="F270" s="74" t="s">
        <v>11</v>
      </c>
      <c r="G270" s="74" t="s">
        <v>178</v>
      </c>
      <c r="H270" s="80">
        <v>220</v>
      </c>
      <c r="I270" s="84">
        <v>1100</v>
      </c>
      <c r="J270" s="80">
        <f t="shared" si="4"/>
        <v>242000</v>
      </c>
    </row>
    <row r="271" spans="1:10">
      <c r="A271" s="74" t="s">
        <v>481</v>
      </c>
      <c r="B271" s="82">
        <v>46354</v>
      </c>
      <c r="C271" s="74" t="s">
        <v>70</v>
      </c>
      <c r="D271" s="74" t="s">
        <v>42</v>
      </c>
      <c r="E271" s="74" t="s">
        <v>36</v>
      </c>
      <c r="F271" s="74" t="s">
        <v>11</v>
      </c>
      <c r="G271" s="74" t="s">
        <v>185</v>
      </c>
      <c r="H271" s="80">
        <v>155</v>
      </c>
      <c r="I271" s="84">
        <v>1150</v>
      </c>
      <c r="J271" s="80">
        <f t="shared" si="4"/>
        <v>178250</v>
      </c>
    </row>
    <row r="272" spans="1:10">
      <c r="A272" s="74" t="s">
        <v>482</v>
      </c>
      <c r="B272" s="82">
        <v>46334</v>
      </c>
      <c r="C272" s="74" t="s">
        <v>72</v>
      </c>
      <c r="D272" s="74" t="s">
        <v>46</v>
      </c>
      <c r="E272" s="74" t="s">
        <v>44</v>
      </c>
      <c r="F272" s="74" t="s">
        <v>14</v>
      </c>
      <c r="G272" s="74" t="s">
        <v>98</v>
      </c>
      <c r="H272" s="80">
        <v>185</v>
      </c>
      <c r="I272" s="84">
        <v>950</v>
      </c>
      <c r="J272" s="80">
        <f t="shared" si="4"/>
        <v>175750</v>
      </c>
    </row>
    <row r="273" spans="1:10">
      <c r="A273" s="74" t="s">
        <v>483</v>
      </c>
      <c r="B273" s="82">
        <v>46345</v>
      </c>
      <c r="C273" s="74" t="s">
        <v>72</v>
      </c>
      <c r="D273" s="74" t="s">
        <v>46</v>
      </c>
      <c r="E273" s="74" t="s">
        <v>44</v>
      </c>
      <c r="F273" s="74" t="s">
        <v>14</v>
      </c>
      <c r="G273" s="74" t="s">
        <v>144</v>
      </c>
      <c r="H273" s="80">
        <v>140</v>
      </c>
      <c r="I273" s="84">
        <v>1550</v>
      </c>
      <c r="J273" s="80">
        <f t="shared" si="4"/>
        <v>217000</v>
      </c>
    </row>
    <row r="274" spans="1:10">
      <c r="A274" s="74" t="s">
        <v>484</v>
      </c>
      <c r="B274" s="82">
        <v>46337</v>
      </c>
      <c r="C274" s="74" t="s">
        <v>74</v>
      </c>
      <c r="D274" s="74" t="s">
        <v>48</v>
      </c>
      <c r="E274" s="74" t="s">
        <v>44</v>
      </c>
      <c r="F274" s="74" t="s">
        <v>14</v>
      </c>
      <c r="G274" s="74" t="s">
        <v>169</v>
      </c>
      <c r="H274" s="80">
        <v>155</v>
      </c>
      <c r="I274" s="84">
        <v>1200</v>
      </c>
      <c r="J274" s="80">
        <f t="shared" si="4"/>
        <v>186000</v>
      </c>
    </row>
    <row r="275" spans="1:10">
      <c r="A275" s="74" t="s">
        <v>485</v>
      </c>
      <c r="B275" s="82">
        <v>46349</v>
      </c>
      <c r="C275" s="74" t="s">
        <v>74</v>
      </c>
      <c r="D275" s="74" t="s">
        <v>48</v>
      </c>
      <c r="E275" s="74" t="s">
        <v>44</v>
      </c>
      <c r="F275" s="74" t="s">
        <v>14</v>
      </c>
      <c r="G275" s="74" t="s">
        <v>191</v>
      </c>
      <c r="H275" s="80">
        <v>175</v>
      </c>
      <c r="I275" s="84">
        <v>1250</v>
      </c>
      <c r="J275" s="80">
        <f t="shared" si="4"/>
        <v>218750</v>
      </c>
    </row>
    <row r="276" spans="1:10">
      <c r="A276" s="74" t="s">
        <v>486</v>
      </c>
      <c r="B276" s="82">
        <v>46331</v>
      </c>
      <c r="C276" s="74" t="s">
        <v>76</v>
      </c>
      <c r="D276" s="74" t="s">
        <v>50</v>
      </c>
      <c r="E276" s="74" t="s">
        <v>44</v>
      </c>
      <c r="F276" s="74" t="s">
        <v>14</v>
      </c>
      <c r="G276" s="74" t="s">
        <v>102</v>
      </c>
      <c r="H276" s="80">
        <v>160</v>
      </c>
      <c r="I276" s="84">
        <v>1100</v>
      </c>
      <c r="J276" s="80">
        <f t="shared" si="4"/>
        <v>176000</v>
      </c>
    </row>
    <row r="277" spans="1:10">
      <c r="A277" s="74" t="s">
        <v>487</v>
      </c>
      <c r="B277" s="82">
        <v>46348</v>
      </c>
      <c r="C277" s="74" t="s">
        <v>76</v>
      </c>
      <c r="D277" s="74" t="s">
        <v>50</v>
      </c>
      <c r="E277" s="74" t="s">
        <v>44</v>
      </c>
      <c r="F277" s="74" t="s">
        <v>14</v>
      </c>
      <c r="G277" s="74" t="s">
        <v>193</v>
      </c>
      <c r="H277" s="80">
        <v>150</v>
      </c>
      <c r="I277" s="84">
        <v>1350</v>
      </c>
      <c r="J277" s="80">
        <f t="shared" si="4"/>
        <v>202500</v>
      </c>
    </row>
    <row r="278" spans="1:10">
      <c r="A278" s="74" t="s">
        <v>488</v>
      </c>
      <c r="B278" s="82">
        <v>46360</v>
      </c>
      <c r="C278" s="74" t="s">
        <v>54</v>
      </c>
      <c r="D278" s="74" t="s">
        <v>22</v>
      </c>
      <c r="E278" s="74" t="s">
        <v>20</v>
      </c>
      <c r="F278" s="74" t="s">
        <v>4</v>
      </c>
      <c r="G278" s="74" t="s">
        <v>85</v>
      </c>
      <c r="H278" s="80">
        <v>220</v>
      </c>
      <c r="I278" s="84">
        <v>850</v>
      </c>
      <c r="J278" s="80">
        <f t="shared" si="4"/>
        <v>187000</v>
      </c>
    </row>
    <row r="279" spans="1:10">
      <c r="A279" s="74" t="s">
        <v>489</v>
      </c>
      <c r="B279" s="82">
        <v>46368</v>
      </c>
      <c r="C279" s="74" t="s">
        <v>54</v>
      </c>
      <c r="D279" s="74" t="s">
        <v>22</v>
      </c>
      <c r="E279" s="74" t="s">
        <v>20</v>
      </c>
      <c r="F279" s="74" t="s">
        <v>4</v>
      </c>
      <c r="G279" s="74" t="s">
        <v>101</v>
      </c>
      <c r="H279" s="80">
        <v>150</v>
      </c>
      <c r="I279" s="84">
        <v>1200</v>
      </c>
      <c r="J279" s="80">
        <f t="shared" si="4"/>
        <v>180000</v>
      </c>
    </row>
    <row r="280" spans="1:10">
      <c r="A280" s="74" t="s">
        <v>490</v>
      </c>
      <c r="B280" s="82">
        <v>46363</v>
      </c>
      <c r="C280" s="74" t="s">
        <v>56</v>
      </c>
      <c r="D280" s="74" t="s">
        <v>24</v>
      </c>
      <c r="E280" s="74" t="s">
        <v>20</v>
      </c>
      <c r="F280" s="74" t="s">
        <v>4</v>
      </c>
      <c r="G280" s="74" t="s">
        <v>96</v>
      </c>
      <c r="H280" s="80">
        <v>225</v>
      </c>
      <c r="I280" s="84">
        <v>900</v>
      </c>
      <c r="J280" s="80">
        <f t="shared" si="4"/>
        <v>202500</v>
      </c>
    </row>
    <row r="281" spans="1:10">
      <c r="A281" s="74" t="s">
        <v>491</v>
      </c>
      <c r="B281" s="82">
        <v>46375</v>
      </c>
      <c r="C281" s="74" t="s">
        <v>56</v>
      </c>
      <c r="D281" s="74" t="s">
        <v>24</v>
      </c>
      <c r="E281" s="74" t="s">
        <v>20</v>
      </c>
      <c r="F281" s="74" t="s">
        <v>4</v>
      </c>
      <c r="G281" s="74" t="s">
        <v>125</v>
      </c>
      <c r="H281" s="80">
        <v>130</v>
      </c>
      <c r="I281" s="84">
        <v>1800</v>
      </c>
      <c r="J281" s="80">
        <f t="shared" si="4"/>
        <v>234000</v>
      </c>
    </row>
    <row r="282" spans="1:10">
      <c r="A282" s="74" t="s">
        <v>492</v>
      </c>
      <c r="B282" s="82">
        <v>46362</v>
      </c>
      <c r="C282" s="74" t="s">
        <v>58</v>
      </c>
      <c r="D282" s="74" t="s">
        <v>26</v>
      </c>
      <c r="E282" s="74" t="s">
        <v>20</v>
      </c>
      <c r="F282" s="74" t="s">
        <v>4</v>
      </c>
      <c r="G282" s="74" t="s">
        <v>113</v>
      </c>
      <c r="H282" s="80">
        <v>150</v>
      </c>
      <c r="I282" s="84">
        <v>1450</v>
      </c>
      <c r="J282" s="80">
        <f t="shared" si="4"/>
        <v>217500</v>
      </c>
    </row>
    <row r="283" spans="1:10">
      <c r="A283" s="74" t="s">
        <v>493</v>
      </c>
      <c r="B283" s="82">
        <v>46378</v>
      </c>
      <c r="C283" s="74" t="s">
        <v>58</v>
      </c>
      <c r="D283" s="74" t="s">
        <v>26</v>
      </c>
      <c r="E283" s="74" t="s">
        <v>20</v>
      </c>
      <c r="F283" s="74" t="s">
        <v>4</v>
      </c>
      <c r="G283" s="74" t="s">
        <v>134</v>
      </c>
      <c r="H283" s="80">
        <v>145</v>
      </c>
      <c r="I283" s="84">
        <v>1050</v>
      </c>
      <c r="J283" s="80">
        <f t="shared" si="4"/>
        <v>152250</v>
      </c>
    </row>
    <row r="284" spans="1:10">
      <c r="A284" s="74" t="s">
        <v>494</v>
      </c>
      <c r="B284" s="82">
        <v>46361</v>
      </c>
      <c r="C284" s="74" t="s">
        <v>60</v>
      </c>
      <c r="D284" s="74" t="s">
        <v>30</v>
      </c>
      <c r="E284" s="74" t="s">
        <v>28</v>
      </c>
      <c r="F284" s="74" t="s">
        <v>8</v>
      </c>
      <c r="G284" s="74" t="s">
        <v>149</v>
      </c>
      <c r="H284" s="80">
        <v>190</v>
      </c>
      <c r="I284" s="84">
        <v>2200</v>
      </c>
      <c r="J284" s="80">
        <f t="shared" si="4"/>
        <v>418000</v>
      </c>
    </row>
    <row r="285" spans="1:10">
      <c r="A285" s="74" t="s">
        <v>495</v>
      </c>
      <c r="B285" s="82">
        <v>46373</v>
      </c>
      <c r="C285" s="74" t="s">
        <v>60</v>
      </c>
      <c r="D285" s="74" t="s">
        <v>30</v>
      </c>
      <c r="E285" s="74" t="s">
        <v>28</v>
      </c>
      <c r="F285" s="74" t="s">
        <v>8</v>
      </c>
      <c r="G285" s="74" t="s">
        <v>168</v>
      </c>
      <c r="H285" s="80">
        <v>200</v>
      </c>
      <c r="I285" s="84">
        <v>1500</v>
      </c>
      <c r="J285" s="80">
        <f t="shared" si="4"/>
        <v>300000</v>
      </c>
    </row>
    <row r="286" spans="1:10">
      <c r="A286" s="74" t="s">
        <v>496</v>
      </c>
      <c r="B286" s="82">
        <v>46366</v>
      </c>
      <c r="C286" s="74" t="s">
        <v>62</v>
      </c>
      <c r="D286" s="74" t="s">
        <v>32</v>
      </c>
      <c r="E286" s="74" t="s">
        <v>28</v>
      </c>
      <c r="F286" s="74" t="s">
        <v>8</v>
      </c>
      <c r="G286" s="74" t="s">
        <v>156</v>
      </c>
      <c r="H286" s="80">
        <v>165</v>
      </c>
      <c r="I286" s="84">
        <v>2400</v>
      </c>
      <c r="J286" s="80">
        <f t="shared" si="4"/>
        <v>396000</v>
      </c>
    </row>
    <row r="287" spans="1:10">
      <c r="A287" s="74" t="s">
        <v>497</v>
      </c>
      <c r="B287" s="82">
        <v>46380</v>
      </c>
      <c r="C287" s="74" t="s">
        <v>62</v>
      </c>
      <c r="D287" s="74" t="s">
        <v>32</v>
      </c>
      <c r="E287" s="74" t="s">
        <v>28</v>
      </c>
      <c r="F287" s="74" t="s">
        <v>8</v>
      </c>
      <c r="G287" s="74" t="s">
        <v>158</v>
      </c>
      <c r="H287" s="80">
        <v>135</v>
      </c>
      <c r="I287" s="84">
        <v>3300</v>
      </c>
      <c r="J287" s="80">
        <f t="shared" si="4"/>
        <v>445500</v>
      </c>
    </row>
    <row r="288" spans="1:10">
      <c r="A288" s="74" t="s">
        <v>498</v>
      </c>
      <c r="B288" s="82">
        <v>46364</v>
      </c>
      <c r="C288" s="74" t="s">
        <v>64</v>
      </c>
      <c r="D288" s="74" t="s">
        <v>34</v>
      </c>
      <c r="E288" s="74" t="s">
        <v>28</v>
      </c>
      <c r="F288" s="74" t="s">
        <v>8</v>
      </c>
      <c r="G288" s="74" t="s">
        <v>165</v>
      </c>
      <c r="H288" s="80">
        <v>175</v>
      </c>
      <c r="I288" s="84">
        <v>1250</v>
      </c>
      <c r="J288" s="80">
        <f t="shared" si="4"/>
        <v>218750</v>
      </c>
    </row>
    <row r="289" spans="1:10">
      <c r="A289" s="74" t="s">
        <v>499</v>
      </c>
      <c r="B289" s="82">
        <v>46383</v>
      </c>
      <c r="C289" s="74" t="s">
        <v>64</v>
      </c>
      <c r="D289" s="74" t="s">
        <v>34</v>
      </c>
      <c r="E289" s="74" t="s">
        <v>28</v>
      </c>
      <c r="F289" s="74" t="s">
        <v>8</v>
      </c>
      <c r="G289" s="74" t="s">
        <v>171</v>
      </c>
      <c r="H289" s="80">
        <v>160</v>
      </c>
      <c r="I289" s="84">
        <v>1400</v>
      </c>
      <c r="J289" s="80">
        <f t="shared" si="4"/>
        <v>224000</v>
      </c>
    </row>
    <row r="290" spans="1:10">
      <c r="A290" s="74" t="s">
        <v>500</v>
      </c>
      <c r="B290" s="82">
        <v>46362</v>
      </c>
      <c r="C290" s="74" t="s">
        <v>66</v>
      </c>
      <c r="D290" s="74" t="s">
        <v>38</v>
      </c>
      <c r="E290" s="74" t="s">
        <v>36</v>
      </c>
      <c r="F290" s="74" t="s">
        <v>11</v>
      </c>
      <c r="G290" s="74" t="s">
        <v>94</v>
      </c>
      <c r="H290" s="80">
        <v>180</v>
      </c>
      <c r="I290" s="84">
        <v>2700</v>
      </c>
      <c r="J290" s="80">
        <f t="shared" si="4"/>
        <v>486000</v>
      </c>
    </row>
    <row r="291" spans="1:10">
      <c r="A291" s="74" t="s">
        <v>501</v>
      </c>
      <c r="B291" s="82">
        <v>46376</v>
      </c>
      <c r="C291" s="74" t="s">
        <v>66</v>
      </c>
      <c r="D291" s="74" t="s">
        <v>38</v>
      </c>
      <c r="E291" s="74" t="s">
        <v>36</v>
      </c>
      <c r="F291" s="74" t="s">
        <v>11</v>
      </c>
      <c r="G291" s="74" t="s">
        <v>129</v>
      </c>
      <c r="H291" s="80">
        <v>145</v>
      </c>
      <c r="I291" s="84">
        <v>2400</v>
      </c>
      <c r="J291" s="80">
        <f t="shared" si="4"/>
        <v>348000</v>
      </c>
    </row>
    <row r="292" spans="1:10">
      <c r="A292" s="74" t="s">
        <v>502</v>
      </c>
      <c r="B292" s="82">
        <v>46368</v>
      </c>
      <c r="C292" s="74" t="s">
        <v>68</v>
      </c>
      <c r="D292" s="74" t="s">
        <v>40</v>
      </c>
      <c r="E292" s="74" t="s">
        <v>36</v>
      </c>
      <c r="F292" s="74" t="s">
        <v>11</v>
      </c>
      <c r="G292" s="74" t="s">
        <v>117</v>
      </c>
      <c r="H292" s="80">
        <v>150</v>
      </c>
      <c r="I292" s="84">
        <v>2600</v>
      </c>
      <c r="J292" s="80">
        <f t="shared" si="4"/>
        <v>390000</v>
      </c>
    </row>
    <row r="293" spans="1:10">
      <c r="A293" s="74" t="s">
        <v>503</v>
      </c>
      <c r="B293" s="82">
        <v>46381</v>
      </c>
      <c r="C293" s="74" t="s">
        <v>68</v>
      </c>
      <c r="D293" s="74" t="s">
        <v>40</v>
      </c>
      <c r="E293" s="74" t="s">
        <v>36</v>
      </c>
      <c r="F293" s="74" t="s">
        <v>11</v>
      </c>
      <c r="G293" s="74" t="s">
        <v>160</v>
      </c>
      <c r="H293" s="80">
        <v>165</v>
      </c>
      <c r="I293" s="84">
        <v>2900</v>
      </c>
      <c r="J293" s="80">
        <f t="shared" si="4"/>
        <v>478500</v>
      </c>
    </row>
    <row r="294" spans="1:10">
      <c r="A294" s="74" t="s">
        <v>504</v>
      </c>
      <c r="B294" s="82">
        <v>46370</v>
      </c>
      <c r="C294" s="74" t="s">
        <v>70</v>
      </c>
      <c r="D294" s="74" t="s">
        <v>42</v>
      </c>
      <c r="E294" s="74" t="s">
        <v>36</v>
      </c>
      <c r="F294" s="74" t="s">
        <v>11</v>
      </c>
      <c r="G294" s="74" t="s">
        <v>178</v>
      </c>
      <c r="H294" s="80">
        <v>240</v>
      </c>
      <c r="I294" s="84">
        <v>1100</v>
      </c>
      <c r="J294" s="80">
        <f t="shared" si="4"/>
        <v>264000</v>
      </c>
    </row>
    <row r="295" spans="1:10">
      <c r="A295" s="74" t="s">
        <v>505</v>
      </c>
      <c r="B295" s="82">
        <v>46384</v>
      </c>
      <c r="C295" s="74" t="s">
        <v>70</v>
      </c>
      <c r="D295" s="74" t="s">
        <v>42</v>
      </c>
      <c r="E295" s="74" t="s">
        <v>36</v>
      </c>
      <c r="F295" s="74" t="s">
        <v>11</v>
      </c>
      <c r="G295" s="74" t="s">
        <v>188</v>
      </c>
      <c r="H295" s="80">
        <v>170</v>
      </c>
      <c r="I295" s="84">
        <v>1050</v>
      </c>
      <c r="J295" s="80">
        <f t="shared" si="4"/>
        <v>178500</v>
      </c>
    </row>
    <row r="296" spans="1:10">
      <c r="A296" s="74" t="s">
        <v>506</v>
      </c>
      <c r="B296" s="82">
        <v>46364</v>
      </c>
      <c r="C296" s="74" t="s">
        <v>72</v>
      </c>
      <c r="D296" s="74" t="s">
        <v>46</v>
      </c>
      <c r="E296" s="74" t="s">
        <v>44</v>
      </c>
      <c r="F296" s="74" t="s">
        <v>14</v>
      </c>
      <c r="G296" s="74" t="s">
        <v>98</v>
      </c>
      <c r="H296" s="80">
        <v>200</v>
      </c>
      <c r="I296" s="84">
        <v>950</v>
      </c>
      <c r="J296" s="80">
        <f t="shared" si="4"/>
        <v>190000</v>
      </c>
    </row>
    <row r="297" spans="1:10">
      <c r="A297" s="74" t="s">
        <v>507</v>
      </c>
      <c r="B297" s="82">
        <v>46375</v>
      </c>
      <c r="C297" s="74" t="s">
        <v>72</v>
      </c>
      <c r="D297" s="74" t="s">
        <v>46</v>
      </c>
      <c r="E297" s="74" t="s">
        <v>44</v>
      </c>
      <c r="F297" s="74" t="s">
        <v>14</v>
      </c>
      <c r="G297" s="74" t="s">
        <v>144</v>
      </c>
      <c r="H297" s="80">
        <v>155</v>
      </c>
      <c r="I297" s="84">
        <v>1550</v>
      </c>
      <c r="J297" s="80">
        <f t="shared" si="4"/>
        <v>240250</v>
      </c>
    </row>
    <row r="298" spans="1:10">
      <c r="A298" s="74" t="s">
        <v>508</v>
      </c>
      <c r="B298" s="82">
        <v>46367</v>
      </c>
      <c r="C298" s="74" t="s">
        <v>74</v>
      </c>
      <c r="D298" s="74" t="s">
        <v>48</v>
      </c>
      <c r="E298" s="74" t="s">
        <v>44</v>
      </c>
      <c r="F298" s="74" t="s">
        <v>14</v>
      </c>
      <c r="G298" s="74" t="s">
        <v>169</v>
      </c>
      <c r="H298" s="80">
        <v>170</v>
      </c>
      <c r="I298" s="84">
        <v>1200</v>
      </c>
      <c r="J298" s="80">
        <f t="shared" si="4"/>
        <v>204000</v>
      </c>
    </row>
    <row r="299" spans="1:10">
      <c r="A299" s="74" t="s">
        <v>509</v>
      </c>
      <c r="B299" s="82">
        <v>46379</v>
      </c>
      <c r="C299" s="74" t="s">
        <v>74</v>
      </c>
      <c r="D299" s="74" t="s">
        <v>48</v>
      </c>
      <c r="E299" s="74" t="s">
        <v>44</v>
      </c>
      <c r="F299" s="74" t="s">
        <v>14</v>
      </c>
      <c r="G299" s="74" t="s">
        <v>191</v>
      </c>
      <c r="H299" s="80">
        <v>190</v>
      </c>
      <c r="I299" s="84">
        <v>1250</v>
      </c>
      <c r="J299" s="80">
        <f t="shared" si="4"/>
        <v>237500</v>
      </c>
    </row>
    <row r="300" spans="1:10">
      <c r="A300" s="74" t="s">
        <v>510</v>
      </c>
      <c r="B300" s="82">
        <v>46361</v>
      </c>
      <c r="C300" s="74" t="s">
        <v>76</v>
      </c>
      <c r="D300" s="74" t="s">
        <v>50</v>
      </c>
      <c r="E300" s="74" t="s">
        <v>44</v>
      </c>
      <c r="F300" s="74" t="s">
        <v>14</v>
      </c>
      <c r="G300" s="74" t="s">
        <v>102</v>
      </c>
      <c r="H300" s="80">
        <v>175</v>
      </c>
      <c r="I300" s="84">
        <v>1100</v>
      </c>
      <c r="J300" s="80">
        <f t="shared" si="4"/>
        <v>192500</v>
      </c>
    </row>
    <row r="301" spans="1:10">
      <c r="A301" s="74" t="s">
        <v>511</v>
      </c>
      <c r="B301" s="82">
        <v>46378</v>
      </c>
      <c r="C301" s="74" t="s">
        <v>76</v>
      </c>
      <c r="D301" s="74" t="s">
        <v>50</v>
      </c>
      <c r="E301" s="74" t="s">
        <v>44</v>
      </c>
      <c r="F301" s="74" t="s">
        <v>14</v>
      </c>
      <c r="G301" s="74" t="s">
        <v>193</v>
      </c>
      <c r="H301" s="80">
        <v>165</v>
      </c>
      <c r="I301" s="84">
        <v>1350</v>
      </c>
      <c r="J301" s="80">
        <f t="shared" si="4"/>
        <v>222750</v>
      </c>
    </row>
    <row r="302" spans="1:10">
      <c r="B302" s="12"/>
      <c r="C302" s="74"/>
      <c r="D302" s="74"/>
      <c r="E302" s="74"/>
      <c r="F302" s="74"/>
      <c r="G302" s="74"/>
      <c r="H302" s="80"/>
      <c r="I302" s="84"/>
      <c r="J302" s="80">
        <f>SUBTOTAL(109,tblSalesTransactions[Sales Amount])</f>
        <v>60255750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4B48-64BF-4E7C-94F3-B3E06B077E07}">
  <dimension ref="A1:G193"/>
  <sheetViews>
    <sheetView workbookViewId="0"/>
  </sheetViews>
  <sheetFormatPr defaultRowHeight="15"/>
  <cols>
    <col min="1" max="1" width="16.140625" bestFit="1" customWidth="1"/>
    <col min="2" max="2" width="15.140625" bestFit="1" customWidth="1"/>
    <col min="3" max="3" width="12.42578125" bestFit="1" customWidth="1"/>
    <col min="4" max="4" width="19.85546875" bestFit="1" customWidth="1"/>
    <col min="5" max="5" width="18.5703125" bestFit="1" customWidth="1"/>
    <col min="6" max="6" width="13.5703125" bestFit="1" customWidth="1"/>
    <col min="7" max="7" width="13.85546875" bestFit="1" customWidth="1"/>
  </cols>
  <sheetData>
    <row r="1" spans="1:7">
      <c r="A1" t="s">
        <v>512</v>
      </c>
      <c r="B1" t="s">
        <v>52</v>
      </c>
      <c r="C1" t="s">
        <v>78</v>
      </c>
      <c r="D1" t="s">
        <v>513</v>
      </c>
      <c r="E1" t="s">
        <v>514</v>
      </c>
      <c r="F1" t="s">
        <v>515</v>
      </c>
      <c r="G1" t="s">
        <v>516</v>
      </c>
    </row>
    <row r="2" spans="1:7">
      <c r="A2" s="82">
        <v>46112</v>
      </c>
      <c r="B2" s="74" t="s">
        <v>54</v>
      </c>
      <c r="C2" s="74" t="s">
        <v>85</v>
      </c>
      <c r="D2" s="85">
        <v>180</v>
      </c>
      <c r="E2" s="85">
        <v>145</v>
      </c>
      <c r="F2" s="85">
        <v>123250</v>
      </c>
      <c r="G2" s="74" t="s">
        <v>517</v>
      </c>
    </row>
    <row r="3" spans="1:7">
      <c r="A3" s="82">
        <v>46112</v>
      </c>
      <c r="B3" s="74" t="s">
        <v>54</v>
      </c>
      <c r="C3" s="74" t="s">
        <v>113</v>
      </c>
      <c r="D3" s="85">
        <v>120</v>
      </c>
      <c r="E3" s="85">
        <v>92</v>
      </c>
      <c r="F3" s="85">
        <v>133400</v>
      </c>
      <c r="G3" s="74" t="s">
        <v>517</v>
      </c>
    </row>
    <row r="4" spans="1:7">
      <c r="A4" s="82">
        <v>46112</v>
      </c>
      <c r="B4" s="74" t="s">
        <v>54</v>
      </c>
      <c r="C4" s="74" t="s">
        <v>149</v>
      </c>
      <c r="D4" s="85">
        <v>75</v>
      </c>
      <c r="E4" s="85">
        <v>58</v>
      </c>
      <c r="F4" s="85">
        <v>127600</v>
      </c>
      <c r="G4" s="74" t="s">
        <v>517</v>
      </c>
    </row>
    <row r="5" spans="1:7">
      <c r="A5" s="82">
        <v>46112</v>
      </c>
      <c r="B5" s="74" t="s">
        <v>54</v>
      </c>
      <c r="C5" s="74" t="s">
        <v>165</v>
      </c>
      <c r="D5" s="85">
        <v>90</v>
      </c>
      <c r="E5" s="85">
        <v>74</v>
      </c>
      <c r="F5" s="85">
        <v>92500</v>
      </c>
      <c r="G5" s="74" t="s">
        <v>517</v>
      </c>
    </row>
    <row r="6" spans="1:7">
      <c r="A6" s="82">
        <v>46112</v>
      </c>
      <c r="B6" s="74" t="s">
        <v>56</v>
      </c>
      <c r="C6" s="74" t="s">
        <v>96</v>
      </c>
      <c r="D6" s="85">
        <v>160</v>
      </c>
      <c r="E6" s="85">
        <v>128</v>
      </c>
      <c r="F6" s="85">
        <v>115200</v>
      </c>
      <c r="G6" s="74" t="s">
        <v>517</v>
      </c>
    </row>
    <row r="7" spans="1:7">
      <c r="A7" s="82">
        <v>46112</v>
      </c>
      <c r="B7" s="74" t="s">
        <v>56</v>
      </c>
      <c r="C7" s="74" t="s">
        <v>117</v>
      </c>
      <c r="D7" s="85">
        <v>105</v>
      </c>
      <c r="E7" s="85">
        <v>82</v>
      </c>
      <c r="F7" s="85">
        <v>213200</v>
      </c>
      <c r="G7" s="74" t="s">
        <v>517</v>
      </c>
    </row>
    <row r="8" spans="1:7">
      <c r="A8" s="82">
        <v>46112</v>
      </c>
      <c r="B8" s="74" t="s">
        <v>56</v>
      </c>
      <c r="C8" s="74" t="s">
        <v>156</v>
      </c>
      <c r="D8" s="85">
        <v>70</v>
      </c>
      <c r="E8" s="85">
        <v>61</v>
      </c>
      <c r="F8" s="85">
        <v>146400</v>
      </c>
      <c r="G8" s="74" t="s">
        <v>517</v>
      </c>
    </row>
    <row r="9" spans="1:7">
      <c r="A9" s="82">
        <v>46112</v>
      </c>
      <c r="B9" s="74" t="s">
        <v>56</v>
      </c>
      <c r="C9" s="74" t="s">
        <v>178</v>
      </c>
      <c r="D9" s="85">
        <v>130</v>
      </c>
      <c r="E9" s="85">
        <v>98</v>
      </c>
      <c r="F9" s="85">
        <v>107800</v>
      </c>
      <c r="G9" s="74" t="s">
        <v>517</v>
      </c>
    </row>
    <row r="10" spans="1:7">
      <c r="A10" s="82">
        <v>46112</v>
      </c>
      <c r="B10" s="74" t="s">
        <v>58</v>
      </c>
      <c r="C10" s="74" t="s">
        <v>99</v>
      </c>
      <c r="D10" s="85">
        <v>145</v>
      </c>
      <c r="E10" s="85">
        <v>118</v>
      </c>
      <c r="F10" s="85">
        <v>135700</v>
      </c>
      <c r="G10" s="74" t="s">
        <v>517</v>
      </c>
    </row>
    <row r="11" spans="1:7">
      <c r="A11" s="82">
        <v>46112</v>
      </c>
      <c r="B11" s="74" t="s">
        <v>58</v>
      </c>
      <c r="C11" s="74" t="s">
        <v>125</v>
      </c>
      <c r="D11" s="85">
        <v>95</v>
      </c>
      <c r="E11" s="85">
        <v>76</v>
      </c>
      <c r="F11" s="85">
        <v>136800</v>
      </c>
      <c r="G11" s="74" t="s">
        <v>517</v>
      </c>
    </row>
    <row r="12" spans="1:7">
      <c r="A12" s="82">
        <v>46112</v>
      </c>
      <c r="B12" s="74" t="s">
        <v>58</v>
      </c>
      <c r="C12" s="74" t="s">
        <v>160</v>
      </c>
      <c r="D12" s="85">
        <v>65</v>
      </c>
      <c r="E12" s="85">
        <v>51</v>
      </c>
      <c r="F12" s="85">
        <v>147900</v>
      </c>
      <c r="G12" s="74" t="s">
        <v>517</v>
      </c>
    </row>
    <row r="13" spans="1:7">
      <c r="A13" s="82">
        <v>46112</v>
      </c>
      <c r="B13" s="74" t="s">
        <v>58</v>
      </c>
      <c r="C13" s="74" t="s">
        <v>185</v>
      </c>
      <c r="D13" s="85">
        <v>110</v>
      </c>
      <c r="E13" s="85">
        <v>87</v>
      </c>
      <c r="F13" s="85">
        <v>100050</v>
      </c>
      <c r="G13" s="74" t="s">
        <v>517</v>
      </c>
    </row>
    <row r="14" spans="1:7">
      <c r="A14" s="82">
        <v>46112</v>
      </c>
      <c r="B14" s="74" t="s">
        <v>60</v>
      </c>
      <c r="C14" s="74" t="s">
        <v>85</v>
      </c>
      <c r="D14" s="85">
        <v>170</v>
      </c>
      <c r="E14" s="85">
        <v>139</v>
      </c>
      <c r="F14" s="85">
        <v>118150</v>
      </c>
      <c r="G14" s="74" t="s">
        <v>517</v>
      </c>
    </row>
    <row r="15" spans="1:7">
      <c r="A15" s="82">
        <v>46112</v>
      </c>
      <c r="B15" s="74" t="s">
        <v>60</v>
      </c>
      <c r="C15" s="74" t="s">
        <v>113</v>
      </c>
      <c r="D15" s="85">
        <v>115</v>
      </c>
      <c r="E15" s="85">
        <v>88</v>
      </c>
      <c r="F15" s="85">
        <v>127600</v>
      </c>
      <c r="G15" s="74" t="s">
        <v>517</v>
      </c>
    </row>
    <row r="16" spans="1:7">
      <c r="A16" s="82">
        <v>46112</v>
      </c>
      <c r="B16" s="74" t="s">
        <v>60</v>
      </c>
      <c r="C16" s="74" t="s">
        <v>149</v>
      </c>
      <c r="D16" s="85">
        <v>80</v>
      </c>
      <c r="E16" s="85">
        <v>63</v>
      </c>
      <c r="F16" s="85">
        <v>138600</v>
      </c>
      <c r="G16" s="74" t="s">
        <v>517</v>
      </c>
    </row>
    <row r="17" spans="1:7">
      <c r="A17" s="82">
        <v>46112</v>
      </c>
      <c r="B17" s="74" t="s">
        <v>60</v>
      </c>
      <c r="C17" s="74" t="s">
        <v>169</v>
      </c>
      <c r="D17" s="85">
        <v>100</v>
      </c>
      <c r="E17" s="85">
        <v>79</v>
      </c>
      <c r="F17" s="85">
        <v>94800</v>
      </c>
      <c r="G17" s="74" t="s">
        <v>517</v>
      </c>
    </row>
    <row r="18" spans="1:7">
      <c r="A18" s="82">
        <v>46112</v>
      </c>
      <c r="B18" s="74" t="s">
        <v>62</v>
      </c>
      <c r="C18" s="74" t="s">
        <v>96</v>
      </c>
      <c r="D18" s="85">
        <v>155</v>
      </c>
      <c r="E18" s="85">
        <v>121</v>
      </c>
      <c r="F18" s="85">
        <v>108900</v>
      </c>
      <c r="G18" s="74" t="s">
        <v>517</v>
      </c>
    </row>
    <row r="19" spans="1:7">
      <c r="A19" s="82">
        <v>46112</v>
      </c>
      <c r="B19" s="74" t="s">
        <v>62</v>
      </c>
      <c r="C19" s="74" t="s">
        <v>117</v>
      </c>
      <c r="D19" s="85">
        <v>110</v>
      </c>
      <c r="E19" s="85">
        <v>86</v>
      </c>
      <c r="F19" s="85">
        <v>223600</v>
      </c>
      <c r="G19" s="74" t="s">
        <v>517</v>
      </c>
    </row>
    <row r="20" spans="1:7">
      <c r="A20" s="82">
        <v>46112</v>
      </c>
      <c r="B20" s="74" t="s">
        <v>62</v>
      </c>
      <c r="C20" s="74" t="s">
        <v>156</v>
      </c>
      <c r="D20" s="85">
        <v>75</v>
      </c>
      <c r="E20" s="85">
        <v>64</v>
      </c>
      <c r="F20" s="85">
        <v>153600</v>
      </c>
      <c r="G20" s="74" t="s">
        <v>517</v>
      </c>
    </row>
    <row r="21" spans="1:7">
      <c r="A21" s="82">
        <v>46112</v>
      </c>
      <c r="B21" s="74" t="s">
        <v>62</v>
      </c>
      <c r="C21" s="74" t="s">
        <v>178</v>
      </c>
      <c r="D21" s="85">
        <v>125</v>
      </c>
      <c r="E21" s="85">
        <v>94</v>
      </c>
      <c r="F21" s="85">
        <v>103400</v>
      </c>
      <c r="G21" s="74" t="s">
        <v>517</v>
      </c>
    </row>
    <row r="22" spans="1:7">
      <c r="A22" s="82">
        <v>46112</v>
      </c>
      <c r="B22" s="74" t="s">
        <v>64</v>
      </c>
      <c r="C22" s="74" t="s">
        <v>101</v>
      </c>
      <c r="D22" s="85">
        <v>135</v>
      </c>
      <c r="E22" s="85">
        <v>108</v>
      </c>
      <c r="F22" s="85">
        <v>129600</v>
      </c>
      <c r="G22" s="74" t="s">
        <v>517</v>
      </c>
    </row>
    <row r="23" spans="1:7">
      <c r="A23" s="82">
        <v>46112</v>
      </c>
      <c r="B23" s="74" t="s">
        <v>64</v>
      </c>
      <c r="C23" s="74" t="s">
        <v>129</v>
      </c>
      <c r="D23" s="85">
        <v>90</v>
      </c>
      <c r="E23" s="85">
        <v>71</v>
      </c>
      <c r="F23" s="85">
        <v>170400</v>
      </c>
      <c r="G23" s="74" t="s">
        <v>517</v>
      </c>
    </row>
    <row r="24" spans="1:7">
      <c r="A24" s="82">
        <v>46112</v>
      </c>
      <c r="B24" s="74" t="s">
        <v>64</v>
      </c>
      <c r="C24" s="74" t="s">
        <v>163</v>
      </c>
      <c r="D24" s="85">
        <v>60</v>
      </c>
      <c r="E24" s="85">
        <v>48</v>
      </c>
      <c r="F24" s="85">
        <v>139200</v>
      </c>
      <c r="G24" s="74" t="s">
        <v>517</v>
      </c>
    </row>
    <row r="25" spans="1:7">
      <c r="A25" s="82">
        <v>46112</v>
      </c>
      <c r="B25" s="74" t="s">
        <v>64</v>
      </c>
      <c r="C25" s="74" t="s">
        <v>188</v>
      </c>
      <c r="D25" s="85">
        <v>105</v>
      </c>
      <c r="E25" s="85">
        <v>83</v>
      </c>
      <c r="F25" s="85">
        <v>87150</v>
      </c>
      <c r="G25" s="74" t="s">
        <v>517</v>
      </c>
    </row>
    <row r="26" spans="1:7">
      <c r="A26" s="82">
        <v>46112</v>
      </c>
      <c r="B26" s="74" t="s">
        <v>66</v>
      </c>
      <c r="C26" s="74" t="s">
        <v>92</v>
      </c>
      <c r="D26" s="85">
        <v>150</v>
      </c>
      <c r="E26" s="85">
        <v>122</v>
      </c>
      <c r="F26" s="85">
        <v>176900</v>
      </c>
      <c r="G26" s="74" t="s">
        <v>517</v>
      </c>
    </row>
    <row r="27" spans="1:7">
      <c r="A27" s="82">
        <v>46112</v>
      </c>
      <c r="B27" s="74" t="s">
        <v>66</v>
      </c>
      <c r="C27" s="74" t="s">
        <v>119</v>
      </c>
      <c r="D27" s="85">
        <v>100</v>
      </c>
      <c r="E27" s="85">
        <v>79</v>
      </c>
      <c r="F27" s="85">
        <v>118500</v>
      </c>
      <c r="G27" s="74" t="s">
        <v>517</v>
      </c>
    </row>
    <row r="28" spans="1:7">
      <c r="A28" s="82">
        <v>46112</v>
      </c>
      <c r="B28" s="74" t="s">
        <v>66</v>
      </c>
      <c r="C28" s="74" t="s">
        <v>154</v>
      </c>
      <c r="D28" s="85">
        <v>70</v>
      </c>
      <c r="E28" s="85">
        <v>55</v>
      </c>
      <c r="F28" s="85">
        <v>170500</v>
      </c>
      <c r="G28" s="74" t="s">
        <v>517</v>
      </c>
    </row>
    <row r="29" spans="1:7">
      <c r="A29" s="82">
        <v>46112</v>
      </c>
      <c r="B29" s="74" t="s">
        <v>66</v>
      </c>
      <c r="C29" s="74" t="s">
        <v>171</v>
      </c>
      <c r="D29" s="85">
        <v>95</v>
      </c>
      <c r="E29" s="85">
        <v>74</v>
      </c>
      <c r="F29" s="85">
        <v>103600</v>
      </c>
      <c r="G29" s="74" t="s">
        <v>517</v>
      </c>
    </row>
    <row r="30" spans="1:7">
      <c r="A30" s="82">
        <v>46112</v>
      </c>
      <c r="B30" s="74" t="s">
        <v>68</v>
      </c>
      <c r="C30" s="74" t="s">
        <v>98</v>
      </c>
      <c r="D30" s="85">
        <v>145</v>
      </c>
      <c r="E30" s="85">
        <v>113</v>
      </c>
      <c r="F30" s="85">
        <v>107350</v>
      </c>
      <c r="G30" s="74" t="s">
        <v>517</v>
      </c>
    </row>
    <row r="31" spans="1:7">
      <c r="A31" s="82">
        <v>46112</v>
      </c>
      <c r="B31" s="74" t="s">
        <v>68</v>
      </c>
      <c r="C31" s="74" t="s">
        <v>121</v>
      </c>
      <c r="D31" s="85">
        <v>95</v>
      </c>
      <c r="E31" s="85">
        <v>73</v>
      </c>
      <c r="F31" s="85">
        <v>189800</v>
      </c>
      <c r="G31" s="74" t="s">
        <v>517</v>
      </c>
    </row>
    <row r="32" spans="1:7">
      <c r="A32" s="82">
        <v>46112</v>
      </c>
      <c r="B32" s="74" t="s">
        <v>68</v>
      </c>
      <c r="C32" s="74" t="s">
        <v>158</v>
      </c>
      <c r="D32" s="85">
        <v>68</v>
      </c>
      <c r="E32" s="85">
        <v>54</v>
      </c>
      <c r="F32" s="85">
        <v>178200</v>
      </c>
      <c r="G32" s="74" t="s">
        <v>517</v>
      </c>
    </row>
    <row r="33" spans="1:7">
      <c r="A33" s="82">
        <v>46112</v>
      </c>
      <c r="B33" s="74" t="s">
        <v>68</v>
      </c>
      <c r="C33" s="74" t="s">
        <v>191</v>
      </c>
      <c r="D33" s="85">
        <v>115</v>
      </c>
      <c r="E33" s="85">
        <v>91</v>
      </c>
      <c r="F33" s="85">
        <v>113750</v>
      </c>
      <c r="G33" s="74" t="s">
        <v>517</v>
      </c>
    </row>
    <row r="34" spans="1:7">
      <c r="A34" s="82">
        <v>46112</v>
      </c>
      <c r="B34" s="74" t="s">
        <v>70</v>
      </c>
      <c r="C34" s="74" t="s">
        <v>102</v>
      </c>
      <c r="D34" s="85">
        <v>140</v>
      </c>
      <c r="E34" s="85">
        <v>111</v>
      </c>
      <c r="F34" s="85">
        <v>133200</v>
      </c>
      <c r="G34" s="74" t="s">
        <v>517</v>
      </c>
    </row>
    <row r="35" spans="1:7">
      <c r="A35" s="82">
        <v>46112</v>
      </c>
      <c r="B35" s="74" t="s">
        <v>70</v>
      </c>
      <c r="C35" s="74" t="s">
        <v>122</v>
      </c>
      <c r="D35" s="85">
        <v>100</v>
      </c>
      <c r="E35" s="85">
        <v>78</v>
      </c>
      <c r="F35" s="85">
        <v>163800</v>
      </c>
      <c r="G35" s="74" t="s">
        <v>517</v>
      </c>
    </row>
    <row r="36" spans="1:7">
      <c r="A36" s="82">
        <v>46112</v>
      </c>
      <c r="B36" s="74" t="s">
        <v>70</v>
      </c>
      <c r="C36" s="74" t="s">
        <v>155</v>
      </c>
      <c r="D36" s="85">
        <v>65</v>
      </c>
      <c r="E36" s="85">
        <v>52</v>
      </c>
      <c r="F36" s="85">
        <v>161200</v>
      </c>
      <c r="G36" s="74" t="s">
        <v>517</v>
      </c>
    </row>
    <row r="37" spans="1:7">
      <c r="A37" s="82">
        <v>46112</v>
      </c>
      <c r="B37" s="74" t="s">
        <v>70</v>
      </c>
      <c r="C37" s="74" t="s">
        <v>193</v>
      </c>
      <c r="D37" s="85">
        <v>110</v>
      </c>
      <c r="E37" s="85">
        <v>86</v>
      </c>
      <c r="F37" s="85">
        <v>116100</v>
      </c>
      <c r="G37" s="74" t="s">
        <v>517</v>
      </c>
    </row>
    <row r="38" spans="1:7">
      <c r="A38" s="82">
        <v>46112</v>
      </c>
      <c r="B38" s="74" t="s">
        <v>72</v>
      </c>
      <c r="C38" s="74" t="s">
        <v>94</v>
      </c>
      <c r="D38" s="85">
        <v>160</v>
      </c>
      <c r="E38" s="85">
        <v>127</v>
      </c>
      <c r="F38" s="85">
        <v>184150</v>
      </c>
      <c r="G38" s="74" t="s">
        <v>517</v>
      </c>
    </row>
    <row r="39" spans="1:7">
      <c r="A39" s="82">
        <v>46112</v>
      </c>
      <c r="B39" s="74" t="s">
        <v>72</v>
      </c>
      <c r="C39" s="74" t="s">
        <v>124</v>
      </c>
      <c r="D39" s="85">
        <v>105</v>
      </c>
      <c r="E39" s="85">
        <v>81</v>
      </c>
      <c r="F39" s="85">
        <v>210600</v>
      </c>
      <c r="G39" s="74" t="s">
        <v>517</v>
      </c>
    </row>
    <row r="40" spans="1:7">
      <c r="A40" s="82">
        <v>46112</v>
      </c>
      <c r="B40" s="74" t="s">
        <v>72</v>
      </c>
      <c r="C40" s="74" t="s">
        <v>159</v>
      </c>
      <c r="D40" s="85">
        <v>72</v>
      </c>
      <c r="E40" s="85">
        <v>56</v>
      </c>
      <c r="F40" s="85">
        <v>184800</v>
      </c>
      <c r="G40" s="74" t="s">
        <v>517</v>
      </c>
    </row>
    <row r="41" spans="1:7">
      <c r="A41" s="82">
        <v>46112</v>
      </c>
      <c r="B41" s="74" t="s">
        <v>72</v>
      </c>
      <c r="C41" s="74" t="s">
        <v>168</v>
      </c>
      <c r="D41" s="85">
        <v>95</v>
      </c>
      <c r="E41" s="85">
        <v>76</v>
      </c>
      <c r="F41" s="85">
        <v>114000</v>
      </c>
      <c r="G41" s="74" t="s">
        <v>517</v>
      </c>
    </row>
    <row r="42" spans="1:7">
      <c r="A42" s="82">
        <v>46112</v>
      </c>
      <c r="B42" s="74" t="s">
        <v>74</v>
      </c>
      <c r="C42" s="74" t="s">
        <v>105</v>
      </c>
      <c r="D42" s="85">
        <v>135</v>
      </c>
      <c r="E42" s="85">
        <v>106</v>
      </c>
      <c r="F42" s="85">
        <v>127200</v>
      </c>
      <c r="G42" s="74" t="s">
        <v>517</v>
      </c>
    </row>
    <row r="43" spans="1:7">
      <c r="A43" s="82">
        <v>46112</v>
      </c>
      <c r="B43" s="74" t="s">
        <v>74</v>
      </c>
      <c r="C43" s="74" t="s">
        <v>131</v>
      </c>
      <c r="D43" s="85">
        <v>90</v>
      </c>
      <c r="E43" s="85">
        <v>69</v>
      </c>
      <c r="F43" s="85">
        <v>144900</v>
      </c>
      <c r="G43" s="74" t="s">
        <v>517</v>
      </c>
    </row>
    <row r="44" spans="1:7">
      <c r="A44" s="82">
        <v>46112</v>
      </c>
      <c r="B44" s="74" t="s">
        <v>74</v>
      </c>
      <c r="C44" s="74" t="s">
        <v>164</v>
      </c>
      <c r="D44" s="85">
        <v>62</v>
      </c>
      <c r="E44" s="85">
        <v>49</v>
      </c>
      <c r="F44" s="85">
        <v>142100</v>
      </c>
      <c r="G44" s="74" t="s">
        <v>517</v>
      </c>
    </row>
    <row r="45" spans="1:7">
      <c r="A45" s="82">
        <v>46112</v>
      </c>
      <c r="B45" s="74" t="s">
        <v>74</v>
      </c>
      <c r="C45" s="74" t="s">
        <v>183</v>
      </c>
      <c r="D45" s="85">
        <v>100</v>
      </c>
      <c r="E45" s="85">
        <v>79</v>
      </c>
      <c r="F45" s="85">
        <v>86900</v>
      </c>
      <c r="G45" s="74" t="s">
        <v>517</v>
      </c>
    </row>
    <row r="46" spans="1:7">
      <c r="A46" s="82">
        <v>46112</v>
      </c>
      <c r="B46" s="74" t="s">
        <v>76</v>
      </c>
      <c r="C46" s="74" t="s">
        <v>106</v>
      </c>
      <c r="D46" s="85">
        <v>150</v>
      </c>
      <c r="E46" s="85">
        <v>119</v>
      </c>
      <c r="F46" s="85">
        <v>172550</v>
      </c>
      <c r="G46" s="74" t="s">
        <v>517</v>
      </c>
    </row>
    <row r="47" spans="1:7">
      <c r="A47" s="82">
        <v>46112</v>
      </c>
      <c r="B47" s="74" t="s">
        <v>76</v>
      </c>
      <c r="C47" s="74" t="s">
        <v>133</v>
      </c>
      <c r="D47" s="85">
        <v>88</v>
      </c>
      <c r="E47" s="85">
        <v>68</v>
      </c>
      <c r="F47" s="85">
        <v>142800</v>
      </c>
      <c r="G47" s="74" t="s">
        <v>517</v>
      </c>
    </row>
    <row r="48" spans="1:7">
      <c r="A48" s="82">
        <v>46112</v>
      </c>
      <c r="B48" s="74" t="s">
        <v>76</v>
      </c>
      <c r="C48" s="74" t="s">
        <v>172</v>
      </c>
      <c r="D48" s="85">
        <v>70</v>
      </c>
      <c r="E48" s="85">
        <v>55</v>
      </c>
      <c r="F48" s="85">
        <v>77000</v>
      </c>
      <c r="G48" s="74" t="s">
        <v>517</v>
      </c>
    </row>
    <row r="49" spans="1:7">
      <c r="A49" s="82">
        <v>46112</v>
      </c>
      <c r="B49" s="74" t="s">
        <v>76</v>
      </c>
      <c r="C49" s="74" t="s">
        <v>190</v>
      </c>
      <c r="D49" s="85">
        <v>105</v>
      </c>
      <c r="E49" s="85">
        <v>82</v>
      </c>
      <c r="F49" s="85">
        <v>86100</v>
      </c>
      <c r="G49" s="74" t="s">
        <v>517</v>
      </c>
    </row>
    <row r="50" spans="1:7">
      <c r="A50" s="82">
        <v>46203</v>
      </c>
      <c r="B50" s="74" t="s">
        <v>54</v>
      </c>
      <c r="C50" s="74" t="s">
        <v>85</v>
      </c>
      <c r="D50" s="85">
        <v>145</v>
      </c>
      <c r="E50" s="85">
        <v>118</v>
      </c>
      <c r="F50" s="85">
        <v>100300</v>
      </c>
      <c r="G50" s="74" t="s">
        <v>517</v>
      </c>
    </row>
    <row r="51" spans="1:7">
      <c r="A51" s="82">
        <v>46203</v>
      </c>
      <c r="B51" s="74" t="s">
        <v>54</v>
      </c>
      <c r="C51" s="74" t="s">
        <v>113</v>
      </c>
      <c r="D51" s="85">
        <v>92</v>
      </c>
      <c r="E51" s="85">
        <v>67</v>
      </c>
      <c r="F51" s="85">
        <v>97150</v>
      </c>
      <c r="G51" s="74" t="s">
        <v>517</v>
      </c>
    </row>
    <row r="52" spans="1:7">
      <c r="A52" s="82">
        <v>46203</v>
      </c>
      <c r="B52" s="74" t="s">
        <v>54</v>
      </c>
      <c r="C52" s="74" t="s">
        <v>149</v>
      </c>
      <c r="D52" s="85">
        <v>58</v>
      </c>
      <c r="E52" s="85">
        <v>44</v>
      </c>
      <c r="F52" s="85">
        <v>96800</v>
      </c>
      <c r="G52" s="74" t="s">
        <v>517</v>
      </c>
    </row>
    <row r="53" spans="1:7">
      <c r="A53" s="82">
        <v>46203</v>
      </c>
      <c r="B53" s="74" t="s">
        <v>54</v>
      </c>
      <c r="C53" s="74" t="s">
        <v>165</v>
      </c>
      <c r="D53" s="85">
        <v>74</v>
      </c>
      <c r="E53" s="85">
        <v>59</v>
      </c>
      <c r="F53" s="85">
        <v>73750</v>
      </c>
      <c r="G53" s="74" t="s">
        <v>517</v>
      </c>
    </row>
    <row r="54" spans="1:7">
      <c r="A54" s="82">
        <v>46203</v>
      </c>
      <c r="B54" s="74" t="s">
        <v>56</v>
      </c>
      <c r="C54" s="74" t="s">
        <v>96</v>
      </c>
      <c r="D54" s="85">
        <v>128</v>
      </c>
      <c r="E54" s="85">
        <v>101</v>
      </c>
      <c r="F54" s="85">
        <v>90900</v>
      </c>
      <c r="G54" s="74" t="s">
        <v>517</v>
      </c>
    </row>
    <row r="55" spans="1:7">
      <c r="A55" s="82">
        <v>46203</v>
      </c>
      <c r="B55" s="74" t="s">
        <v>56</v>
      </c>
      <c r="C55" s="74" t="s">
        <v>117</v>
      </c>
      <c r="D55" s="85">
        <v>82</v>
      </c>
      <c r="E55" s="85">
        <v>61</v>
      </c>
      <c r="F55" s="85">
        <v>158600</v>
      </c>
      <c r="G55" s="74" t="s">
        <v>517</v>
      </c>
    </row>
    <row r="56" spans="1:7">
      <c r="A56" s="82">
        <v>46203</v>
      </c>
      <c r="B56" s="74" t="s">
        <v>56</v>
      </c>
      <c r="C56" s="74" t="s">
        <v>156</v>
      </c>
      <c r="D56" s="85">
        <v>61</v>
      </c>
      <c r="E56" s="85">
        <v>49</v>
      </c>
      <c r="F56" s="85">
        <v>117600</v>
      </c>
      <c r="G56" s="74" t="s">
        <v>517</v>
      </c>
    </row>
    <row r="57" spans="1:7">
      <c r="A57" s="82">
        <v>46203</v>
      </c>
      <c r="B57" s="74" t="s">
        <v>56</v>
      </c>
      <c r="C57" s="74" t="s">
        <v>178</v>
      </c>
      <c r="D57" s="85">
        <v>98</v>
      </c>
      <c r="E57" s="85">
        <v>72</v>
      </c>
      <c r="F57" s="85">
        <v>79200</v>
      </c>
      <c r="G57" s="74" t="s">
        <v>517</v>
      </c>
    </row>
    <row r="58" spans="1:7">
      <c r="A58" s="82">
        <v>46203</v>
      </c>
      <c r="B58" s="74" t="s">
        <v>58</v>
      </c>
      <c r="C58" s="74" t="s">
        <v>99</v>
      </c>
      <c r="D58" s="85">
        <v>118</v>
      </c>
      <c r="E58" s="85">
        <v>94</v>
      </c>
      <c r="F58" s="85">
        <v>108100</v>
      </c>
      <c r="G58" s="74" t="s">
        <v>517</v>
      </c>
    </row>
    <row r="59" spans="1:7">
      <c r="A59" s="82">
        <v>46203</v>
      </c>
      <c r="B59" s="74" t="s">
        <v>58</v>
      </c>
      <c r="C59" s="74" t="s">
        <v>125</v>
      </c>
      <c r="D59" s="85">
        <v>76</v>
      </c>
      <c r="E59" s="85">
        <v>58</v>
      </c>
      <c r="F59" s="85">
        <v>104400</v>
      </c>
      <c r="G59" s="74" t="s">
        <v>517</v>
      </c>
    </row>
    <row r="60" spans="1:7">
      <c r="A60" s="82">
        <v>46203</v>
      </c>
      <c r="B60" s="74" t="s">
        <v>58</v>
      </c>
      <c r="C60" s="74" t="s">
        <v>160</v>
      </c>
      <c r="D60" s="85">
        <v>51</v>
      </c>
      <c r="E60" s="85">
        <v>38</v>
      </c>
      <c r="F60" s="85">
        <v>110200</v>
      </c>
      <c r="G60" s="74" t="s">
        <v>517</v>
      </c>
    </row>
    <row r="61" spans="1:7">
      <c r="A61" s="82">
        <v>46203</v>
      </c>
      <c r="B61" s="74" t="s">
        <v>58</v>
      </c>
      <c r="C61" s="74" t="s">
        <v>185</v>
      </c>
      <c r="D61" s="85">
        <v>87</v>
      </c>
      <c r="E61" s="85">
        <v>65</v>
      </c>
      <c r="F61" s="85">
        <v>74750</v>
      </c>
      <c r="G61" s="74" t="s">
        <v>517</v>
      </c>
    </row>
    <row r="62" spans="1:7">
      <c r="A62" s="82">
        <v>46203</v>
      </c>
      <c r="B62" s="74" t="s">
        <v>60</v>
      </c>
      <c r="C62" s="74" t="s">
        <v>85</v>
      </c>
      <c r="D62" s="85">
        <v>139</v>
      </c>
      <c r="E62" s="85">
        <v>111</v>
      </c>
      <c r="F62" s="85">
        <v>94350</v>
      </c>
      <c r="G62" s="74" t="s">
        <v>517</v>
      </c>
    </row>
    <row r="63" spans="1:7">
      <c r="A63" s="82">
        <v>46203</v>
      </c>
      <c r="B63" s="74" t="s">
        <v>60</v>
      </c>
      <c r="C63" s="74" t="s">
        <v>113</v>
      </c>
      <c r="D63" s="85">
        <v>88</v>
      </c>
      <c r="E63" s="85">
        <v>65</v>
      </c>
      <c r="F63" s="85">
        <v>94250</v>
      </c>
      <c r="G63" s="74" t="s">
        <v>517</v>
      </c>
    </row>
    <row r="64" spans="1:7">
      <c r="A64" s="82">
        <v>46203</v>
      </c>
      <c r="B64" s="74" t="s">
        <v>60</v>
      </c>
      <c r="C64" s="74" t="s">
        <v>149</v>
      </c>
      <c r="D64" s="85">
        <v>63</v>
      </c>
      <c r="E64" s="85">
        <v>47</v>
      </c>
      <c r="F64" s="85">
        <v>103400</v>
      </c>
      <c r="G64" s="74" t="s">
        <v>517</v>
      </c>
    </row>
    <row r="65" spans="1:7">
      <c r="A65" s="82">
        <v>46203</v>
      </c>
      <c r="B65" s="74" t="s">
        <v>60</v>
      </c>
      <c r="C65" s="74" t="s">
        <v>169</v>
      </c>
      <c r="D65" s="85">
        <v>79</v>
      </c>
      <c r="E65" s="85">
        <v>60</v>
      </c>
      <c r="F65" s="85">
        <v>72000</v>
      </c>
      <c r="G65" s="74" t="s">
        <v>517</v>
      </c>
    </row>
    <row r="66" spans="1:7">
      <c r="A66" s="82">
        <v>46203</v>
      </c>
      <c r="B66" s="74" t="s">
        <v>62</v>
      </c>
      <c r="C66" s="74" t="s">
        <v>96</v>
      </c>
      <c r="D66" s="85">
        <v>121</v>
      </c>
      <c r="E66" s="85">
        <v>94</v>
      </c>
      <c r="F66" s="85">
        <v>84600</v>
      </c>
      <c r="G66" s="74" t="s">
        <v>517</v>
      </c>
    </row>
    <row r="67" spans="1:7">
      <c r="A67" s="82">
        <v>46203</v>
      </c>
      <c r="B67" s="74" t="s">
        <v>62</v>
      </c>
      <c r="C67" s="74" t="s">
        <v>117</v>
      </c>
      <c r="D67" s="85">
        <v>86</v>
      </c>
      <c r="E67" s="85">
        <v>63</v>
      </c>
      <c r="F67" s="85">
        <v>163800</v>
      </c>
      <c r="G67" s="74" t="s">
        <v>517</v>
      </c>
    </row>
    <row r="68" spans="1:7">
      <c r="A68" s="82">
        <v>46203</v>
      </c>
      <c r="B68" s="74" t="s">
        <v>62</v>
      </c>
      <c r="C68" s="74" t="s">
        <v>156</v>
      </c>
      <c r="D68" s="85">
        <v>64</v>
      </c>
      <c r="E68" s="85">
        <v>51</v>
      </c>
      <c r="F68" s="85">
        <v>122400</v>
      </c>
      <c r="G68" s="74" t="s">
        <v>517</v>
      </c>
    </row>
    <row r="69" spans="1:7">
      <c r="A69" s="82">
        <v>46203</v>
      </c>
      <c r="B69" s="74" t="s">
        <v>62</v>
      </c>
      <c r="C69" s="74" t="s">
        <v>178</v>
      </c>
      <c r="D69" s="85">
        <v>94</v>
      </c>
      <c r="E69" s="85">
        <v>69</v>
      </c>
      <c r="F69" s="85">
        <v>75900</v>
      </c>
      <c r="G69" s="74" t="s">
        <v>517</v>
      </c>
    </row>
    <row r="70" spans="1:7">
      <c r="A70" s="82">
        <v>46203</v>
      </c>
      <c r="B70" s="74" t="s">
        <v>64</v>
      </c>
      <c r="C70" s="74" t="s">
        <v>101</v>
      </c>
      <c r="D70" s="85">
        <v>108</v>
      </c>
      <c r="E70" s="85">
        <v>83</v>
      </c>
      <c r="F70" s="85">
        <v>99600</v>
      </c>
      <c r="G70" s="74" t="s">
        <v>517</v>
      </c>
    </row>
    <row r="71" spans="1:7">
      <c r="A71" s="82">
        <v>46203</v>
      </c>
      <c r="B71" s="74" t="s">
        <v>64</v>
      </c>
      <c r="C71" s="74" t="s">
        <v>129</v>
      </c>
      <c r="D71" s="85">
        <v>71</v>
      </c>
      <c r="E71" s="85">
        <v>53</v>
      </c>
      <c r="F71" s="85">
        <v>127200</v>
      </c>
      <c r="G71" s="74" t="s">
        <v>517</v>
      </c>
    </row>
    <row r="72" spans="1:7">
      <c r="A72" s="82">
        <v>46203</v>
      </c>
      <c r="B72" s="74" t="s">
        <v>64</v>
      </c>
      <c r="C72" s="74" t="s">
        <v>163</v>
      </c>
      <c r="D72" s="85">
        <v>48</v>
      </c>
      <c r="E72" s="85">
        <v>35</v>
      </c>
      <c r="F72" s="85">
        <v>101500</v>
      </c>
      <c r="G72" s="74" t="s">
        <v>517</v>
      </c>
    </row>
    <row r="73" spans="1:7">
      <c r="A73" s="82">
        <v>46203</v>
      </c>
      <c r="B73" s="74" t="s">
        <v>64</v>
      </c>
      <c r="C73" s="74" t="s">
        <v>188</v>
      </c>
      <c r="D73" s="85">
        <v>83</v>
      </c>
      <c r="E73" s="85">
        <v>62</v>
      </c>
      <c r="F73" s="85">
        <v>65100</v>
      </c>
      <c r="G73" s="74" t="s">
        <v>517</v>
      </c>
    </row>
    <row r="74" spans="1:7">
      <c r="A74" s="82">
        <v>46203</v>
      </c>
      <c r="B74" s="74" t="s">
        <v>66</v>
      </c>
      <c r="C74" s="74" t="s">
        <v>92</v>
      </c>
      <c r="D74" s="85">
        <v>122</v>
      </c>
      <c r="E74" s="85">
        <v>96</v>
      </c>
      <c r="F74" s="85">
        <v>139200</v>
      </c>
      <c r="G74" s="74" t="s">
        <v>517</v>
      </c>
    </row>
    <row r="75" spans="1:7">
      <c r="A75" s="82">
        <v>46203</v>
      </c>
      <c r="B75" s="74" t="s">
        <v>66</v>
      </c>
      <c r="C75" s="74" t="s">
        <v>119</v>
      </c>
      <c r="D75" s="85">
        <v>79</v>
      </c>
      <c r="E75" s="85">
        <v>61</v>
      </c>
      <c r="F75" s="85">
        <v>91500</v>
      </c>
      <c r="G75" s="74" t="s">
        <v>517</v>
      </c>
    </row>
    <row r="76" spans="1:7">
      <c r="A76" s="82">
        <v>46203</v>
      </c>
      <c r="B76" s="74" t="s">
        <v>66</v>
      </c>
      <c r="C76" s="74" t="s">
        <v>154</v>
      </c>
      <c r="D76" s="85">
        <v>55</v>
      </c>
      <c r="E76" s="85">
        <v>42</v>
      </c>
      <c r="F76" s="85">
        <v>130200</v>
      </c>
      <c r="G76" s="74" t="s">
        <v>517</v>
      </c>
    </row>
    <row r="77" spans="1:7">
      <c r="A77" s="82">
        <v>46203</v>
      </c>
      <c r="B77" s="74" t="s">
        <v>66</v>
      </c>
      <c r="C77" s="74" t="s">
        <v>171</v>
      </c>
      <c r="D77" s="85">
        <v>74</v>
      </c>
      <c r="E77" s="85">
        <v>56</v>
      </c>
      <c r="F77" s="85">
        <v>78400</v>
      </c>
      <c r="G77" s="74" t="s">
        <v>517</v>
      </c>
    </row>
    <row r="78" spans="1:7">
      <c r="A78" s="82">
        <v>46203</v>
      </c>
      <c r="B78" s="74" t="s">
        <v>68</v>
      </c>
      <c r="C78" s="74" t="s">
        <v>98</v>
      </c>
      <c r="D78" s="85">
        <v>113</v>
      </c>
      <c r="E78" s="85">
        <v>88</v>
      </c>
      <c r="F78" s="85">
        <v>83600</v>
      </c>
      <c r="G78" s="74" t="s">
        <v>517</v>
      </c>
    </row>
    <row r="79" spans="1:7">
      <c r="A79" s="82">
        <v>46203</v>
      </c>
      <c r="B79" s="74" t="s">
        <v>68</v>
      </c>
      <c r="C79" s="74" t="s">
        <v>121</v>
      </c>
      <c r="D79" s="85">
        <v>73</v>
      </c>
      <c r="E79" s="85">
        <v>55</v>
      </c>
      <c r="F79" s="85">
        <v>143000</v>
      </c>
      <c r="G79" s="74" t="s">
        <v>517</v>
      </c>
    </row>
    <row r="80" spans="1:7">
      <c r="A80" s="82">
        <v>46203</v>
      </c>
      <c r="B80" s="74" t="s">
        <v>68</v>
      </c>
      <c r="C80" s="74" t="s">
        <v>158</v>
      </c>
      <c r="D80" s="85">
        <v>54</v>
      </c>
      <c r="E80" s="85">
        <v>41</v>
      </c>
      <c r="F80" s="85">
        <v>135300</v>
      </c>
      <c r="G80" s="74" t="s">
        <v>517</v>
      </c>
    </row>
    <row r="81" spans="1:7">
      <c r="A81" s="82">
        <v>46203</v>
      </c>
      <c r="B81" s="74" t="s">
        <v>68</v>
      </c>
      <c r="C81" s="74" t="s">
        <v>191</v>
      </c>
      <c r="D81" s="85">
        <v>91</v>
      </c>
      <c r="E81" s="85">
        <v>69</v>
      </c>
      <c r="F81" s="85">
        <v>86250</v>
      </c>
      <c r="G81" s="74" t="s">
        <v>517</v>
      </c>
    </row>
    <row r="82" spans="1:7">
      <c r="A82" s="82">
        <v>46203</v>
      </c>
      <c r="B82" s="74" t="s">
        <v>70</v>
      </c>
      <c r="C82" s="74" t="s">
        <v>102</v>
      </c>
      <c r="D82" s="85">
        <v>111</v>
      </c>
      <c r="E82" s="85">
        <v>86</v>
      </c>
      <c r="F82" s="85">
        <v>103200</v>
      </c>
      <c r="G82" s="74" t="s">
        <v>517</v>
      </c>
    </row>
    <row r="83" spans="1:7">
      <c r="A83" s="82">
        <v>46203</v>
      </c>
      <c r="B83" s="74" t="s">
        <v>70</v>
      </c>
      <c r="C83" s="74" t="s">
        <v>122</v>
      </c>
      <c r="D83" s="85">
        <v>78</v>
      </c>
      <c r="E83" s="85">
        <v>59</v>
      </c>
      <c r="F83" s="85">
        <v>123900</v>
      </c>
      <c r="G83" s="74" t="s">
        <v>517</v>
      </c>
    </row>
    <row r="84" spans="1:7">
      <c r="A84" s="82">
        <v>46203</v>
      </c>
      <c r="B84" s="74" t="s">
        <v>70</v>
      </c>
      <c r="C84" s="74" t="s">
        <v>155</v>
      </c>
      <c r="D84" s="85">
        <v>52</v>
      </c>
      <c r="E84" s="85">
        <v>39</v>
      </c>
      <c r="F84" s="85">
        <v>120900</v>
      </c>
      <c r="G84" s="74" t="s">
        <v>517</v>
      </c>
    </row>
    <row r="85" spans="1:7">
      <c r="A85" s="82">
        <v>46203</v>
      </c>
      <c r="B85" s="74" t="s">
        <v>70</v>
      </c>
      <c r="C85" s="74" t="s">
        <v>193</v>
      </c>
      <c r="D85" s="85">
        <v>86</v>
      </c>
      <c r="E85" s="85">
        <v>65</v>
      </c>
      <c r="F85" s="85">
        <v>87750</v>
      </c>
      <c r="G85" s="74" t="s">
        <v>517</v>
      </c>
    </row>
    <row r="86" spans="1:7">
      <c r="A86" s="82">
        <v>46203</v>
      </c>
      <c r="B86" s="74" t="s">
        <v>72</v>
      </c>
      <c r="C86" s="74" t="s">
        <v>94</v>
      </c>
      <c r="D86" s="85">
        <v>127</v>
      </c>
      <c r="E86" s="85">
        <v>99</v>
      </c>
      <c r="F86" s="85">
        <v>143550</v>
      </c>
      <c r="G86" s="74" t="s">
        <v>517</v>
      </c>
    </row>
    <row r="87" spans="1:7">
      <c r="A87" s="82">
        <v>46203</v>
      </c>
      <c r="B87" s="74" t="s">
        <v>72</v>
      </c>
      <c r="C87" s="74" t="s">
        <v>124</v>
      </c>
      <c r="D87" s="85">
        <v>81</v>
      </c>
      <c r="E87" s="85">
        <v>62</v>
      </c>
      <c r="F87" s="85">
        <v>161200</v>
      </c>
      <c r="G87" s="74" t="s">
        <v>517</v>
      </c>
    </row>
    <row r="88" spans="1:7">
      <c r="A88" s="82">
        <v>46203</v>
      </c>
      <c r="B88" s="74" t="s">
        <v>72</v>
      </c>
      <c r="C88" s="74" t="s">
        <v>159</v>
      </c>
      <c r="D88" s="85">
        <v>56</v>
      </c>
      <c r="E88" s="85">
        <v>43</v>
      </c>
      <c r="F88" s="85">
        <v>141900</v>
      </c>
      <c r="G88" s="74" t="s">
        <v>517</v>
      </c>
    </row>
    <row r="89" spans="1:7">
      <c r="A89" s="82">
        <v>46203</v>
      </c>
      <c r="B89" s="74" t="s">
        <v>72</v>
      </c>
      <c r="C89" s="74" t="s">
        <v>168</v>
      </c>
      <c r="D89" s="85">
        <v>76</v>
      </c>
      <c r="E89" s="85">
        <v>58</v>
      </c>
      <c r="F89" s="85">
        <v>87000</v>
      </c>
      <c r="G89" s="74" t="s">
        <v>517</v>
      </c>
    </row>
    <row r="90" spans="1:7">
      <c r="A90" s="82">
        <v>46203</v>
      </c>
      <c r="B90" s="74" t="s">
        <v>74</v>
      </c>
      <c r="C90" s="74" t="s">
        <v>105</v>
      </c>
      <c r="D90" s="85">
        <v>106</v>
      </c>
      <c r="E90" s="85">
        <v>82</v>
      </c>
      <c r="F90" s="85">
        <v>98400</v>
      </c>
      <c r="G90" s="74" t="s">
        <v>517</v>
      </c>
    </row>
    <row r="91" spans="1:7">
      <c r="A91" s="82">
        <v>46203</v>
      </c>
      <c r="B91" s="74" t="s">
        <v>74</v>
      </c>
      <c r="C91" s="74" t="s">
        <v>131</v>
      </c>
      <c r="D91" s="85">
        <v>69</v>
      </c>
      <c r="E91" s="85">
        <v>52</v>
      </c>
      <c r="F91" s="85">
        <v>109200</v>
      </c>
      <c r="G91" s="74" t="s">
        <v>517</v>
      </c>
    </row>
    <row r="92" spans="1:7">
      <c r="A92" s="82">
        <v>46203</v>
      </c>
      <c r="B92" s="74" t="s">
        <v>74</v>
      </c>
      <c r="C92" s="74" t="s">
        <v>164</v>
      </c>
      <c r="D92" s="85">
        <v>49</v>
      </c>
      <c r="E92" s="85">
        <v>37</v>
      </c>
      <c r="F92" s="85">
        <v>107300</v>
      </c>
      <c r="G92" s="74" t="s">
        <v>517</v>
      </c>
    </row>
    <row r="93" spans="1:7">
      <c r="A93" s="82">
        <v>46203</v>
      </c>
      <c r="B93" s="74" t="s">
        <v>74</v>
      </c>
      <c r="C93" s="74" t="s">
        <v>183</v>
      </c>
      <c r="D93" s="85">
        <v>79</v>
      </c>
      <c r="E93" s="85">
        <v>60</v>
      </c>
      <c r="F93" s="85">
        <v>66000</v>
      </c>
      <c r="G93" s="74" t="s">
        <v>517</v>
      </c>
    </row>
    <row r="94" spans="1:7">
      <c r="A94" s="82">
        <v>46203</v>
      </c>
      <c r="B94" s="74" t="s">
        <v>76</v>
      </c>
      <c r="C94" s="74" t="s">
        <v>106</v>
      </c>
      <c r="D94" s="85">
        <v>119</v>
      </c>
      <c r="E94" s="85">
        <v>93</v>
      </c>
      <c r="F94" s="85">
        <v>134850</v>
      </c>
      <c r="G94" s="74" t="s">
        <v>517</v>
      </c>
    </row>
    <row r="95" spans="1:7">
      <c r="A95" s="82">
        <v>46203</v>
      </c>
      <c r="B95" s="74" t="s">
        <v>76</v>
      </c>
      <c r="C95" s="74" t="s">
        <v>133</v>
      </c>
      <c r="D95" s="85">
        <v>68</v>
      </c>
      <c r="E95" s="85">
        <v>51</v>
      </c>
      <c r="F95" s="85">
        <v>107100</v>
      </c>
      <c r="G95" s="74" t="s">
        <v>517</v>
      </c>
    </row>
    <row r="96" spans="1:7">
      <c r="A96" s="82">
        <v>46203</v>
      </c>
      <c r="B96" s="74" t="s">
        <v>76</v>
      </c>
      <c r="C96" s="74" t="s">
        <v>172</v>
      </c>
      <c r="D96" s="85">
        <v>55</v>
      </c>
      <c r="E96" s="85">
        <v>42</v>
      </c>
      <c r="F96" s="85">
        <v>58800</v>
      </c>
      <c r="G96" s="74" t="s">
        <v>517</v>
      </c>
    </row>
    <row r="97" spans="1:7">
      <c r="A97" s="82">
        <v>46203</v>
      </c>
      <c r="B97" s="74" t="s">
        <v>76</v>
      </c>
      <c r="C97" s="74" t="s">
        <v>190</v>
      </c>
      <c r="D97" s="85">
        <v>82</v>
      </c>
      <c r="E97" s="85">
        <v>62</v>
      </c>
      <c r="F97" s="85">
        <v>65100</v>
      </c>
      <c r="G97" s="74" t="s">
        <v>517</v>
      </c>
    </row>
    <row r="98" spans="1:7">
      <c r="A98" s="82">
        <v>46295</v>
      </c>
      <c r="B98" s="74" t="s">
        <v>54</v>
      </c>
      <c r="C98" s="74" t="s">
        <v>85</v>
      </c>
      <c r="D98" s="85">
        <v>118</v>
      </c>
      <c r="E98" s="85">
        <v>91</v>
      </c>
      <c r="F98" s="85">
        <v>77350</v>
      </c>
      <c r="G98" s="74" t="s">
        <v>517</v>
      </c>
    </row>
    <row r="99" spans="1:7">
      <c r="A99" s="82">
        <v>46295</v>
      </c>
      <c r="B99" s="74" t="s">
        <v>54</v>
      </c>
      <c r="C99" s="74" t="s">
        <v>113</v>
      </c>
      <c r="D99" s="85">
        <v>67</v>
      </c>
      <c r="E99" s="85">
        <v>96</v>
      </c>
      <c r="F99" s="85">
        <v>139200</v>
      </c>
      <c r="G99" s="74" t="s">
        <v>518</v>
      </c>
    </row>
    <row r="100" spans="1:7">
      <c r="A100" s="82">
        <v>46295</v>
      </c>
      <c r="B100" s="74" t="s">
        <v>54</v>
      </c>
      <c r="C100" s="74" t="s">
        <v>149</v>
      </c>
      <c r="D100" s="85">
        <v>44</v>
      </c>
      <c r="E100" s="85">
        <v>31</v>
      </c>
      <c r="F100" s="85">
        <v>68200</v>
      </c>
      <c r="G100" s="74" t="s">
        <v>517</v>
      </c>
    </row>
    <row r="101" spans="1:7">
      <c r="A101" s="82">
        <v>46295</v>
      </c>
      <c r="B101" s="74" t="s">
        <v>54</v>
      </c>
      <c r="C101" s="74" t="s">
        <v>165</v>
      </c>
      <c r="D101" s="85">
        <v>59</v>
      </c>
      <c r="E101" s="85">
        <v>45</v>
      </c>
      <c r="F101" s="85">
        <v>56250</v>
      </c>
      <c r="G101" s="74" t="s">
        <v>517</v>
      </c>
    </row>
    <row r="102" spans="1:7">
      <c r="A102" s="82">
        <v>46295</v>
      </c>
      <c r="B102" s="74" t="s">
        <v>56</v>
      </c>
      <c r="C102" s="74" t="s">
        <v>96</v>
      </c>
      <c r="D102" s="85">
        <v>101</v>
      </c>
      <c r="E102" s="85">
        <v>79</v>
      </c>
      <c r="F102" s="85">
        <v>71100</v>
      </c>
      <c r="G102" s="74" t="s">
        <v>517</v>
      </c>
    </row>
    <row r="103" spans="1:7">
      <c r="A103" s="82">
        <v>46295</v>
      </c>
      <c r="B103" s="74" t="s">
        <v>56</v>
      </c>
      <c r="C103" s="74" t="s">
        <v>117</v>
      </c>
      <c r="D103" s="85">
        <v>61</v>
      </c>
      <c r="E103" s="85">
        <v>48</v>
      </c>
      <c r="F103" s="85">
        <v>124800</v>
      </c>
      <c r="G103" s="74" t="s">
        <v>517</v>
      </c>
    </row>
    <row r="104" spans="1:7">
      <c r="A104" s="82">
        <v>46295</v>
      </c>
      <c r="B104" s="74" t="s">
        <v>56</v>
      </c>
      <c r="C104" s="74" t="s">
        <v>156</v>
      </c>
      <c r="D104" s="85">
        <v>49</v>
      </c>
      <c r="E104" s="85">
        <v>68</v>
      </c>
      <c r="F104" s="85">
        <v>163200</v>
      </c>
      <c r="G104" s="74" t="s">
        <v>518</v>
      </c>
    </row>
    <row r="105" spans="1:7">
      <c r="A105" s="82">
        <v>46295</v>
      </c>
      <c r="B105" s="74" t="s">
        <v>56</v>
      </c>
      <c r="C105" s="74" t="s">
        <v>178</v>
      </c>
      <c r="D105" s="85">
        <v>72</v>
      </c>
      <c r="E105" s="85">
        <v>54</v>
      </c>
      <c r="F105" s="85">
        <v>59400</v>
      </c>
      <c r="G105" s="74" t="s">
        <v>517</v>
      </c>
    </row>
    <row r="106" spans="1:7">
      <c r="A106" s="82">
        <v>46295</v>
      </c>
      <c r="B106" s="74" t="s">
        <v>58</v>
      </c>
      <c r="C106" s="74" t="s">
        <v>99</v>
      </c>
      <c r="D106" s="85">
        <v>94</v>
      </c>
      <c r="E106" s="85">
        <v>71</v>
      </c>
      <c r="F106" s="85">
        <v>81650</v>
      </c>
      <c r="G106" s="74" t="s">
        <v>517</v>
      </c>
    </row>
    <row r="107" spans="1:7">
      <c r="A107" s="82">
        <v>46295</v>
      </c>
      <c r="B107" s="74" t="s">
        <v>58</v>
      </c>
      <c r="C107" s="74" t="s">
        <v>125</v>
      </c>
      <c r="D107" s="85">
        <v>58</v>
      </c>
      <c r="E107" s="85">
        <v>43</v>
      </c>
      <c r="F107" s="85">
        <v>77400</v>
      </c>
      <c r="G107" s="74" t="s">
        <v>517</v>
      </c>
    </row>
    <row r="108" spans="1:7">
      <c r="A108" s="82">
        <v>46295</v>
      </c>
      <c r="B108" s="74" t="s">
        <v>58</v>
      </c>
      <c r="C108" s="74" t="s">
        <v>160</v>
      </c>
      <c r="D108" s="85">
        <v>38</v>
      </c>
      <c r="E108" s="85">
        <v>29</v>
      </c>
      <c r="F108" s="85">
        <v>84100</v>
      </c>
      <c r="G108" s="74" t="s">
        <v>517</v>
      </c>
    </row>
    <row r="109" spans="1:7">
      <c r="A109" s="82">
        <v>46295</v>
      </c>
      <c r="B109" s="74" t="s">
        <v>58</v>
      </c>
      <c r="C109" s="74" t="s">
        <v>185</v>
      </c>
      <c r="D109" s="85">
        <v>65</v>
      </c>
      <c r="E109" s="85">
        <v>49</v>
      </c>
      <c r="F109" s="85">
        <v>56350</v>
      </c>
      <c r="G109" s="74" t="s">
        <v>517</v>
      </c>
    </row>
    <row r="110" spans="1:7">
      <c r="A110" s="82">
        <v>46295</v>
      </c>
      <c r="B110" s="74" t="s">
        <v>60</v>
      </c>
      <c r="C110" s="74" t="s">
        <v>85</v>
      </c>
      <c r="D110" s="85">
        <v>111</v>
      </c>
      <c r="E110" s="85">
        <v>84</v>
      </c>
      <c r="F110" s="85">
        <v>71400</v>
      </c>
      <c r="G110" s="74" t="s">
        <v>517</v>
      </c>
    </row>
    <row r="111" spans="1:7">
      <c r="A111" s="82">
        <v>46295</v>
      </c>
      <c r="B111" s="74" t="s">
        <v>60</v>
      </c>
      <c r="C111" s="74" t="s">
        <v>113</v>
      </c>
      <c r="D111" s="85">
        <v>65</v>
      </c>
      <c r="E111" s="85">
        <v>91</v>
      </c>
      <c r="F111" s="85">
        <v>131950</v>
      </c>
      <c r="G111" s="74" t="s">
        <v>518</v>
      </c>
    </row>
    <row r="112" spans="1:7">
      <c r="A112" s="82">
        <v>46295</v>
      </c>
      <c r="B112" s="74" t="s">
        <v>60</v>
      </c>
      <c r="C112" s="74" t="s">
        <v>149</v>
      </c>
      <c r="D112" s="85">
        <v>47</v>
      </c>
      <c r="E112" s="85">
        <v>35</v>
      </c>
      <c r="F112" s="85">
        <v>77000</v>
      </c>
      <c r="G112" s="74" t="s">
        <v>517</v>
      </c>
    </row>
    <row r="113" spans="1:7">
      <c r="A113" s="82">
        <v>46295</v>
      </c>
      <c r="B113" s="74" t="s">
        <v>60</v>
      </c>
      <c r="C113" s="74" t="s">
        <v>169</v>
      </c>
      <c r="D113" s="85">
        <v>60</v>
      </c>
      <c r="E113" s="85">
        <v>46</v>
      </c>
      <c r="F113" s="85">
        <v>55200</v>
      </c>
      <c r="G113" s="74" t="s">
        <v>517</v>
      </c>
    </row>
    <row r="114" spans="1:7">
      <c r="A114" s="82">
        <v>46295</v>
      </c>
      <c r="B114" s="74" t="s">
        <v>62</v>
      </c>
      <c r="C114" s="74" t="s">
        <v>96</v>
      </c>
      <c r="D114" s="85">
        <v>94</v>
      </c>
      <c r="E114" s="85">
        <v>72</v>
      </c>
      <c r="F114" s="85">
        <v>64800</v>
      </c>
      <c r="G114" s="74" t="s">
        <v>517</v>
      </c>
    </row>
    <row r="115" spans="1:7">
      <c r="A115" s="82">
        <v>46295</v>
      </c>
      <c r="B115" s="74" t="s">
        <v>62</v>
      </c>
      <c r="C115" s="74" t="s">
        <v>117</v>
      </c>
      <c r="D115" s="85">
        <v>63</v>
      </c>
      <c r="E115" s="85">
        <v>51</v>
      </c>
      <c r="F115" s="85">
        <v>132600</v>
      </c>
      <c r="G115" s="74" t="s">
        <v>517</v>
      </c>
    </row>
    <row r="116" spans="1:7">
      <c r="A116" s="82">
        <v>46295</v>
      </c>
      <c r="B116" s="74" t="s">
        <v>62</v>
      </c>
      <c r="C116" s="74" t="s">
        <v>156</v>
      </c>
      <c r="D116" s="85">
        <v>51</v>
      </c>
      <c r="E116" s="85">
        <v>69</v>
      </c>
      <c r="F116" s="85">
        <v>165600</v>
      </c>
      <c r="G116" s="74" t="s">
        <v>518</v>
      </c>
    </row>
    <row r="117" spans="1:7">
      <c r="A117" s="82">
        <v>46295</v>
      </c>
      <c r="B117" s="74" t="s">
        <v>62</v>
      </c>
      <c r="C117" s="74" t="s">
        <v>178</v>
      </c>
      <c r="D117" s="85">
        <v>69</v>
      </c>
      <c r="E117" s="85">
        <v>52</v>
      </c>
      <c r="F117" s="85">
        <v>57200</v>
      </c>
      <c r="G117" s="74" t="s">
        <v>517</v>
      </c>
    </row>
    <row r="118" spans="1:7">
      <c r="A118" s="82">
        <v>46295</v>
      </c>
      <c r="B118" s="74" t="s">
        <v>64</v>
      </c>
      <c r="C118" s="74" t="s">
        <v>101</v>
      </c>
      <c r="D118" s="85">
        <v>83</v>
      </c>
      <c r="E118" s="85">
        <v>64</v>
      </c>
      <c r="F118" s="85">
        <v>76800</v>
      </c>
      <c r="G118" s="74" t="s">
        <v>517</v>
      </c>
    </row>
    <row r="119" spans="1:7">
      <c r="A119" s="82">
        <v>46295</v>
      </c>
      <c r="B119" s="74" t="s">
        <v>64</v>
      </c>
      <c r="C119" s="74" t="s">
        <v>129</v>
      </c>
      <c r="D119" s="85">
        <v>53</v>
      </c>
      <c r="E119" s="85">
        <v>41</v>
      </c>
      <c r="F119" s="85">
        <v>98400</v>
      </c>
      <c r="G119" s="74" t="s">
        <v>517</v>
      </c>
    </row>
    <row r="120" spans="1:7">
      <c r="A120" s="82">
        <v>46295</v>
      </c>
      <c r="B120" s="74" t="s">
        <v>64</v>
      </c>
      <c r="C120" s="74" t="s">
        <v>163</v>
      </c>
      <c r="D120" s="85">
        <v>35</v>
      </c>
      <c r="E120" s="85">
        <v>27</v>
      </c>
      <c r="F120" s="85">
        <v>78300</v>
      </c>
      <c r="G120" s="74" t="s">
        <v>517</v>
      </c>
    </row>
    <row r="121" spans="1:7">
      <c r="A121" s="82">
        <v>46295</v>
      </c>
      <c r="B121" s="74" t="s">
        <v>64</v>
      </c>
      <c r="C121" s="74" t="s">
        <v>188</v>
      </c>
      <c r="D121" s="85">
        <v>62</v>
      </c>
      <c r="E121" s="85">
        <v>47</v>
      </c>
      <c r="F121" s="85">
        <v>49350</v>
      </c>
      <c r="G121" s="74" t="s">
        <v>517</v>
      </c>
    </row>
    <row r="122" spans="1:7">
      <c r="A122" s="82">
        <v>46295</v>
      </c>
      <c r="B122" s="74" t="s">
        <v>66</v>
      </c>
      <c r="C122" s="74" t="s">
        <v>92</v>
      </c>
      <c r="D122" s="85">
        <v>96</v>
      </c>
      <c r="E122" s="85">
        <v>73</v>
      </c>
      <c r="F122" s="85">
        <v>105850</v>
      </c>
      <c r="G122" s="74" t="s">
        <v>517</v>
      </c>
    </row>
    <row r="123" spans="1:7">
      <c r="A123" s="82">
        <v>46295</v>
      </c>
      <c r="B123" s="74" t="s">
        <v>66</v>
      </c>
      <c r="C123" s="74" t="s">
        <v>119</v>
      </c>
      <c r="D123" s="85">
        <v>61</v>
      </c>
      <c r="E123" s="85">
        <v>46</v>
      </c>
      <c r="F123" s="85">
        <v>69000</v>
      </c>
      <c r="G123" s="74" t="s">
        <v>517</v>
      </c>
    </row>
    <row r="124" spans="1:7">
      <c r="A124" s="82">
        <v>46295</v>
      </c>
      <c r="B124" s="74" t="s">
        <v>66</v>
      </c>
      <c r="C124" s="74" t="s">
        <v>154</v>
      </c>
      <c r="D124" s="85">
        <v>42</v>
      </c>
      <c r="E124" s="85">
        <v>31</v>
      </c>
      <c r="F124" s="85">
        <v>96100</v>
      </c>
      <c r="G124" s="74" t="s">
        <v>517</v>
      </c>
    </row>
    <row r="125" spans="1:7">
      <c r="A125" s="82">
        <v>46295</v>
      </c>
      <c r="B125" s="74" t="s">
        <v>66</v>
      </c>
      <c r="C125" s="74" t="s">
        <v>171</v>
      </c>
      <c r="D125" s="85">
        <v>56</v>
      </c>
      <c r="E125" s="85">
        <v>43</v>
      </c>
      <c r="F125" s="85">
        <v>60200</v>
      </c>
      <c r="G125" s="74" t="s">
        <v>517</v>
      </c>
    </row>
    <row r="126" spans="1:7">
      <c r="A126" s="82">
        <v>46295</v>
      </c>
      <c r="B126" s="74" t="s">
        <v>68</v>
      </c>
      <c r="C126" s="74" t="s">
        <v>98</v>
      </c>
      <c r="D126" s="85">
        <v>88</v>
      </c>
      <c r="E126" s="85">
        <v>66</v>
      </c>
      <c r="F126" s="85">
        <v>62700</v>
      </c>
      <c r="G126" s="74" t="s">
        <v>517</v>
      </c>
    </row>
    <row r="127" spans="1:7">
      <c r="A127" s="82">
        <v>46295</v>
      </c>
      <c r="B127" s="74" t="s">
        <v>68</v>
      </c>
      <c r="C127" s="74" t="s">
        <v>121</v>
      </c>
      <c r="D127" s="85">
        <v>55</v>
      </c>
      <c r="E127" s="85">
        <v>42</v>
      </c>
      <c r="F127" s="85">
        <v>109200</v>
      </c>
      <c r="G127" s="74" t="s">
        <v>517</v>
      </c>
    </row>
    <row r="128" spans="1:7">
      <c r="A128" s="82">
        <v>46295</v>
      </c>
      <c r="B128" s="74" t="s">
        <v>68</v>
      </c>
      <c r="C128" s="74" t="s">
        <v>158</v>
      </c>
      <c r="D128" s="85">
        <v>41</v>
      </c>
      <c r="E128" s="85">
        <v>52</v>
      </c>
      <c r="F128" s="85">
        <v>171600</v>
      </c>
      <c r="G128" s="74" t="s">
        <v>518</v>
      </c>
    </row>
    <row r="129" spans="1:7">
      <c r="A129" s="82">
        <v>46295</v>
      </c>
      <c r="B129" s="74" t="s">
        <v>68</v>
      </c>
      <c r="C129" s="74" t="s">
        <v>191</v>
      </c>
      <c r="D129" s="85">
        <v>69</v>
      </c>
      <c r="E129" s="85">
        <v>51</v>
      </c>
      <c r="F129" s="85">
        <v>63750</v>
      </c>
      <c r="G129" s="74" t="s">
        <v>517</v>
      </c>
    </row>
    <row r="130" spans="1:7">
      <c r="A130" s="82">
        <v>46295</v>
      </c>
      <c r="B130" s="74" t="s">
        <v>70</v>
      </c>
      <c r="C130" s="74" t="s">
        <v>102</v>
      </c>
      <c r="D130" s="85">
        <v>86</v>
      </c>
      <c r="E130" s="85">
        <v>65</v>
      </c>
      <c r="F130" s="85">
        <v>78000</v>
      </c>
      <c r="G130" s="74" t="s">
        <v>517</v>
      </c>
    </row>
    <row r="131" spans="1:7">
      <c r="A131" s="82">
        <v>46295</v>
      </c>
      <c r="B131" s="74" t="s">
        <v>70</v>
      </c>
      <c r="C131" s="74" t="s">
        <v>122</v>
      </c>
      <c r="D131" s="85">
        <v>59</v>
      </c>
      <c r="E131" s="85">
        <v>45</v>
      </c>
      <c r="F131" s="85">
        <v>94500</v>
      </c>
      <c r="G131" s="74" t="s">
        <v>517</v>
      </c>
    </row>
    <row r="132" spans="1:7">
      <c r="A132" s="82">
        <v>46295</v>
      </c>
      <c r="B132" s="74" t="s">
        <v>70</v>
      </c>
      <c r="C132" s="74" t="s">
        <v>155</v>
      </c>
      <c r="D132" s="85">
        <v>39</v>
      </c>
      <c r="E132" s="85">
        <v>30</v>
      </c>
      <c r="F132" s="85">
        <v>93000</v>
      </c>
      <c r="G132" s="74" t="s">
        <v>517</v>
      </c>
    </row>
    <row r="133" spans="1:7">
      <c r="A133" s="82">
        <v>46295</v>
      </c>
      <c r="B133" s="74" t="s">
        <v>70</v>
      </c>
      <c r="C133" s="74" t="s">
        <v>193</v>
      </c>
      <c r="D133" s="85">
        <v>65</v>
      </c>
      <c r="E133" s="85">
        <v>49</v>
      </c>
      <c r="F133" s="85">
        <v>66150</v>
      </c>
      <c r="G133" s="74" t="s">
        <v>517</v>
      </c>
    </row>
    <row r="134" spans="1:7">
      <c r="A134" s="82">
        <v>46295</v>
      </c>
      <c r="B134" s="74" t="s">
        <v>72</v>
      </c>
      <c r="C134" s="74" t="s">
        <v>94</v>
      </c>
      <c r="D134" s="85">
        <v>99</v>
      </c>
      <c r="E134" s="85">
        <v>76</v>
      </c>
      <c r="F134" s="85">
        <v>110200</v>
      </c>
      <c r="G134" s="74" t="s">
        <v>517</v>
      </c>
    </row>
    <row r="135" spans="1:7">
      <c r="A135" s="82">
        <v>46295</v>
      </c>
      <c r="B135" s="74" t="s">
        <v>72</v>
      </c>
      <c r="C135" s="74" t="s">
        <v>124</v>
      </c>
      <c r="D135" s="85">
        <v>62</v>
      </c>
      <c r="E135" s="85">
        <v>47</v>
      </c>
      <c r="F135" s="85">
        <v>122200</v>
      </c>
      <c r="G135" s="74" t="s">
        <v>517</v>
      </c>
    </row>
    <row r="136" spans="1:7">
      <c r="A136" s="82">
        <v>46295</v>
      </c>
      <c r="B136" s="74" t="s">
        <v>72</v>
      </c>
      <c r="C136" s="74" t="s">
        <v>159</v>
      </c>
      <c r="D136" s="85">
        <v>43</v>
      </c>
      <c r="E136" s="85">
        <v>32</v>
      </c>
      <c r="F136" s="85">
        <v>105600</v>
      </c>
      <c r="G136" s="74" t="s">
        <v>517</v>
      </c>
    </row>
    <row r="137" spans="1:7">
      <c r="A137" s="82">
        <v>46295</v>
      </c>
      <c r="B137" s="74" t="s">
        <v>72</v>
      </c>
      <c r="C137" s="74" t="s">
        <v>168</v>
      </c>
      <c r="D137" s="85">
        <v>58</v>
      </c>
      <c r="E137" s="85">
        <v>44</v>
      </c>
      <c r="F137" s="85">
        <v>66000</v>
      </c>
      <c r="G137" s="74" t="s">
        <v>517</v>
      </c>
    </row>
    <row r="138" spans="1:7">
      <c r="A138" s="82">
        <v>46295</v>
      </c>
      <c r="B138" s="74" t="s">
        <v>74</v>
      </c>
      <c r="C138" s="74" t="s">
        <v>105</v>
      </c>
      <c r="D138" s="85">
        <v>82</v>
      </c>
      <c r="E138" s="85">
        <v>63</v>
      </c>
      <c r="F138" s="85">
        <v>75600</v>
      </c>
      <c r="G138" s="74" t="s">
        <v>517</v>
      </c>
    </row>
    <row r="139" spans="1:7">
      <c r="A139" s="82">
        <v>46295</v>
      </c>
      <c r="B139" s="74" t="s">
        <v>74</v>
      </c>
      <c r="C139" s="74" t="s">
        <v>131</v>
      </c>
      <c r="D139" s="85">
        <v>52</v>
      </c>
      <c r="E139" s="85">
        <v>40</v>
      </c>
      <c r="F139" s="85">
        <v>84000</v>
      </c>
      <c r="G139" s="74" t="s">
        <v>517</v>
      </c>
    </row>
    <row r="140" spans="1:7">
      <c r="A140" s="82">
        <v>46295</v>
      </c>
      <c r="B140" s="74" t="s">
        <v>74</v>
      </c>
      <c r="C140" s="74" t="s">
        <v>164</v>
      </c>
      <c r="D140" s="85">
        <v>37</v>
      </c>
      <c r="E140" s="85">
        <v>29</v>
      </c>
      <c r="F140" s="85">
        <v>84100</v>
      </c>
      <c r="G140" s="74" t="s">
        <v>517</v>
      </c>
    </row>
    <row r="141" spans="1:7">
      <c r="A141" s="82">
        <v>46295</v>
      </c>
      <c r="B141" s="74" t="s">
        <v>74</v>
      </c>
      <c r="C141" s="74" t="s">
        <v>183</v>
      </c>
      <c r="D141" s="85">
        <v>60</v>
      </c>
      <c r="E141" s="85">
        <v>46</v>
      </c>
      <c r="F141" s="85">
        <v>40020</v>
      </c>
      <c r="G141" s="74" t="s">
        <v>517</v>
      </c>
    </row>
    <row r="142" spans="1:7">
      <c r="A142" s="82">
        <v>46295</v>
      </c>
      <c r="B142" s="74" t="s">
        <v>76</v>
      </c>
      <c r="C142" s="74" t="s">
        <v>106</v>
      </c>
      <c r="D142" s="85">
        <v>93</v>
      </c>
      <c r="E142" s="85">
        <v>71</v>
      </c>
      <c r="F142" s="85">
        <v>102950</v>
      </c>
      <c r="G142" s="74" t="s">
        <v>517</v>
      </c>
    </row>
    <row r="143" spans="1:7">
      <c r="A143" s="82">
        <v>46295</v>
      </c>
      <c r="B143" s="74" t="s">
        <v>76</v>
      </c>
      <c r="C143" s="74" t="s">
        <v>133</v>
      </c>
      <c r="D143" s="85">
        <v>51</v>
      </c>
      <c r="E143" s="85">
        <v>39</v>
      </c>
      <c r="F143" s="85">
        <v>81900</v>
      </c>
      <c r="G143" s="74" t="s">
        <v>517</v>
      </c>
    </row>
    <row r="144" spans="1:7">
      <c r="A144" s="82">
        <v>46295</v>
      </c>
      <c r="B144" s="74" t="s">
        <v>76</v>
      </c>
      <c r="C144" s="74" t="s">
        <v>172</v>
      </c>
      <c r="D144" s="85">
        <v>42</v>
      </c>
      <c r="E144" s="85">
        <v>31</v>
      </c>
      <c r="F144" s="85">
        <v>43400</v>
      </c>
      <c r="G144" s="74" t="s">
        <v>517</v>
      </c>
    </row>
    <row r="145" spans="1:7">
      <c r="A145" s="82">
        <v>46295</v>
      </c>
      <c r="B145" s="74" t="s">
        <v>76</v>
      </c>
      <c r="C145" s="74" t="s">
        <v>190</v>
      </c>
      <c r="D145" s="85">
        <v>62</v>
      </c>
      <c r="E145" s="85">
        <v>47</v>
      </c>
      <c r="F145" s="85">
        <v>49350</v>
      </c>
      <c r="G145" s="74" t="s">
        <v>517</v>
      </c>
    </row>
    <row r="146" spans="1:7">
      <c r="A146" s="82">
        <v>46387</v>
      </c>
      <c r="B146" s="74" t="s">
        <v>54</v>
      </c>
      <c r="C146" s="74" t="s">
        <v>85</v>
      </c>
      <c r="D146" s="85">
        <v>91</v>
      </c>
      <c r="E146" s="85">
        <v>74</v>
      </c>
      <c r="F146" s="85">
        <v>62900</v>
      </c>
      <c r="G146" s="74" t="s">
        <v>517</v>
      </c>
    </row>
    <row r="147" spans="1:7">
      <c r="A147" s="82">
        <v>46387</v>
      </c>
      <c r="B147" s="74" t="s">
        <v>54</v>
      </c>
      <c r="C147" s="74" t="s">
        <v>113</v>
      </c>
      <c r="D147" s="85">
        <v>96</v>
      </c>
      <c r="E147" s="85">
        <v>118</v>
      </c>
      <c r="F147" s="85">
        <v>171100</v>
      </c>
      <c r="G147" s="74" t="s">
        <v>518</v>
      </c>
    </row>
    <row r="148" spans="1:7">
      <c r="A148" s="82">
        <v>46387</v>
      </c>
      <c r="B148" s="74" t="s">
        <v>54</v>
      </c>
      <c r="C148" s="74" t="s">
        <v>149</v>
      </c>
      <c r="D148" s="85">
        <v>31</v>
      </c>
      <c r="E148" s="85">
        <v>22</v>
      </c>
      <c r="F148" s="85">
        <v>48400</v>
      </c>
      <c r="G148" s="74" t="s">
        <v>517</v>
      </c>
    </row>
    <row r="149" spans="1:7">
      <c r="A149" s="82">
        <v>46387</v>
      </c>
      <c r="B149" s="74" t="s">
        <v>54</v>
      </c>
      <c r="C149" s="74" t="s">
        <v>165</v>
      </c>
      <c r="D149" s="85">
        <v>45</v>
      </c>
      <c r="E149" s="85">
        <v>34</v>
      </c>
      <c r="F149" s="85">
        <v>42500</v>
      </c>
      <c r="G149" s="74" t="s">
        <v>517</v>
      </c>
    </row>
    <row r="150" spans="1:7">
      <c r="A150" s="82">
        <v>46387</v>
      </c>
      <c r="B150" s="74" t="s">
        <v>56</v>
      </c>
      <c r="C150" s="74" t="s">
        <v>96</v>
      </c>
      <c r="D150" s="85">
        <v>79</v>
      </c>
      <c r="E150" s="85">
        <v>61</v>
      </c>
      <c r="F150" s="85">
        <v>54900</v>
      </c>
      <c r="G150" s="74" t="s">
        <v>517</v>
      </c>
    </row>
    <row r="151" spans="1:7">
      <c r="A151" s="82">
        <v>46387</v>
      </c>
      <c r="B151" s="74" t="s">
        <v>56</v>
      </c>
      <c r="C151" s="74" t="s">
        <v>117</v>
      </c>
      <c r="D151" s="85">
        <v>48</v>
      </c>
      <c r="E151" s="85">
        <v>37</v>
      </c>
      <c r="F151" s="85">
        <v>96200</v>
      </c>
      <c r="G151" s="74" t="s">
        <v>517</v>
      </c>
    </row>
    <row r="152" spans="1:7">
      <c r="A152" s="82">
        <v>46387</v>
      </c>
      <c r="B152" s="74" t="s">
        <v>56</v>
      </c>
      <c r="C152" s="74" t="s">
        <v>156</v>
      </c>
      <c r="D152" s="85">
        <v>68</v>
      </c>
      <c r="E152" s="85">
        <v>82</v>
      </c>
      <c r="F152" s="85">
        <v>196800</v>
      </c>
      <c r="G152" s="74" t="s">
        <v>518</v>
      </c>
    </row>
    <row r="153" spans="1:7">
      <c r="A153" s="82">
        <v>46387</v>
      </c>
      <c r="B153" s="74" t="s">
        <v>56</v>
      </c>
      <c r="C153" s="74" t="s">
        <v>178</v>
      </c>
      <c r="D153" s="85">
        <v>54</v>
      </c>
      <c r="E153" s="85">
        <v>41</v>
      </c>
      <c r="F153" s="85">
        <v>45100</v>
      </c>
      <c r="G153" s="74" t="s">
        <v>517</v>
      </c>
    </row>
    <row r="154" spans="1:7">
      <c r="A154" s="82">
        <v>46387</v>
      </c>
      <c r="B154" s="74" t="s">
        <v>58</v>
      </c>
      <c r="C154" s="74" t="s">
        <v>99</v>
      </c>
      <c r="D154" s="85">
        <v>71</v>
      </c>
      <c r="E154" s="85">
        <v>54</v>
      </c>
      <c r="F154" s="85">
        <v>62100</v>
      </c>
      <c r="G154" s="74" t="s">
        <v>517</v>
      </c>
    </row>
    <row r="155" spans="1:7">
      <c r="A155" s="82">
        <v>46387</v>
      </c>
      <c r="B155" s="74" t="s">
        <v>58</v>
      </c>
      <c r="C155" s="74" t="s">
        <v>125</v>
      </c>
      <c r="D155" s="85">
        <v>43</v>
      </c>
      <c r="E155" s="85">
        <v>33</v>
      </c>
      <c r="F155" s="85">
        <v>59400</v>
      </c>
      <c r="G155" s="74" t="s">
        <v>517</v>
      </c>
    </row>
    <row r="156" spans="1:7">
      <c r="A156" s="82">
        <v>46387</v>
      </c>
      <c r="B156" s="74" t="s">
        <v>58</v>
      </c>
      <c r="C156" s="74" t="s">
        <v>160</v>
      </c>
      <c r="D156" s="85">
        <v>29</v>
      </c>
      <c r="E156" s="85">
        <v>22</v>
      </c>
      <c r="F156" s="85">
        <v>63800</v>
      </c>
      <c r="G156" s="74" t="s">
        <v>517</v>
      </c>
    </row>
    <row r="157" spans="1:7">
      <c r="A157" s="82">
        <v>46387</v>
      </c>
      <c r="B157" s="74" t="s">
        <v>58</v>
      </c>
      <c r="C157" s="74" t="s">
        <v>185</v>
      </c>
      <c r="D157" s="85">
        <v>49</v>
      </c>
      <c r="E157" s="85">
        <v>37</v>
      </c>
      <c r="F157" s="85">
        <v>42550</v>
      </c>
      <c r="G157" s="74" t="s">
        <v>517</v>
      </c>
    </row>
    <row r="158" spans="1:7">
      <c r="A158" s="82">
        <v>46387</v>
      </c>
      <c r="B158" s="74" t="s">
        <v>60</v>
      </c>
      <c r="C158" s="74" t="s">
        <v>85</v>
      </c>
      <c r="D158" s="85">
        <v>84</v>
      </c>
      <c r="E158" s="85">
        <v>67</v>
      </c>
      <c r="F158" s="85">
        <v>56950</v>
      </c>
      <c r="G158" s="74" t="s">
        <v>517</v>
      </c>
    </row>
    <row r="159" spans="1:7">
      <c r="A159" s="82">
        <v>46387</v>
      </c>
      <c r="B159" s="74" t="s">
        <v>60</v>
      </c>
      <c r="C159" s="74" t="s">
        <v>113</v>
      </c>
      <c r="D159" s="85">
        <v>91</v>
      </c>
      <c r="E159" s="85">
        <v>115</v>
      </c>
      <c r="F159" s="85">
        <v>166750</v>
      </c>
      <c r="G159" s="74" t="s">
        <v>518</v>
      </c>
    </row>
    <row r="160" spans="1:7">
      <c r="A160" s="82">
        <v>46387</v>
      </c>
      <c r="B160" s="74" t="s">
        <v>60</v>
      </c>
      <c r="C160" s="74" t="s">
        <v>149</v>
      </c>
      <c r="D160" s="85">
        <v>35</v>
      </c>
      <c r="E160" s="85">
        <v>27</v>
      </c>
      <c r="F160" s="85">
        <v>59400</v>
      </c>
      <c r="G160" s="74" t="s">
        <v>517</v>
      </c>
    </row>
    <row r="161" spans="1:7">
      <c r="A161" s="82">
        <v>46387</v>
      </c>
      <c r="B161" s="74" t="s">
        <v>60</v>
      </c>
      <c r="C161" s="74" t="s">
        <v>169</v>
      </c>
      <c r="D161" s="85">
        <v>46</v>
      </c>
      <c r="E161" s="85">
        <v>35</v>
      </c>
      <c r="F161" s="85">
        <v>42000</v>
      </c>
      <c r="G161" s="74" t="s">
        <v>517</v>
      </c>
    </row>
    <row r="162" spans="1:7">
      <c r="A162" s="82">
        <v>46387</v>
      </c>
      <c r="B162" s="74" t="s">
        <v>62</v>
      </c>
      <c r="C162" s="74" t="s">
        <v>96</v>
      </c>
      <c r="D162" s="85">
        <v>72</v>
      </c>
      <c r="E162" s="85">
        <v>55</v>
      </c>
      <c r="F162" s="85">
        <v>49500</v>
      </c>
      <c r="G162" s="74" t="s">
        <v>517</v>
      </c>
    </row>
    <row r="163" spans="1:7">
      <c r="A163" s="82">
        <v>46387</v>
      </c>
      <c r="B163" s="74" t="s">
        <v>62</v>
      </c>
      <c r="C163" s="74" t="s">
        <v>117</v>
      </c>
      <c r="D163" s="85">
        <v>51</v>
      </c>
      <c r="E163" s="85">
        <v>39</v>
      </c>
      <c r="F163" s="85">
        <v>101400</v>
      </c>
      <c r="G163" s="74" t="s">
        <v>517</v>
      </c>
    </row>
    <row r="164" spans="1:7">
      <c r="A164" s="82">
        <v>46387</v>
      </c>
      <c r="B164" s="74" t="s">
        <v>62</v>
      </c>
      <c r="C164" s="74" t="s">
        <v>156</v>
      </c>
      <c r="D164" s="85">
        <v>69</v>
      </c>
      <c r="E164" s="85">
        <v>85</v>
      </c>
      <c r="F164" s="85">
        <v>204000</v>
      </c>
      <c r="G164" s="74" t="s">
        <v>518</v>
      </c>
    </row>
    <row r="165" spans="1:7">
      <c r="A165" s="82">
        <v>46387</v>
      </c>
      <c r="B165" s="74" t="s">
        <v>62</v>
      </c>
      <c r="C165" s="74" t="s">
        <v>178</v>
      </c>
      <c r="D165" s="85">
        <v>52</v>
      </c>
      <c r="E165" s="85">
        <v>39</v>
      </c>
      <c r="F165" s="85">
        <v>42900</v>
      </c>
      <c r="G165" s="74" t="s">
        <v>517</v>
      </c>
    </row>
    <row r="166" spans="1:7">
      <c r="A166" s="82">
        <v>46387</v>
      </c>
      <c r="B166" s="74" t="s">
        <v>64</v>
      </c>
      <c r="C166" s="74" t="s">
        <v>101</v>
      </c>
      <c r="D166" s="85">
        <v>64</v>
      </c>
      <c r="E166" s="85">
        <v>49</v>
      </c>
      <c r="F166" s="85">
        <v>58800</v>
      </c>
      <c r="G166" s="74" t="s">
        <v>517</v>
      </c>
    </row>
    <row r="167" spans="1:7">
      <c r="A167" s="82">
        <v>46387</v>
      </c>
      <c r="B167" s="74" t="s">
        <v>64</v>
      </c>
      <c r="C167" s="74" t="s">
        <v>129</v>
      </c>
      <c r="D167" s="85">
        <v>41</v>
      </c>
      <c r="E167" s="85">
        <v>31</v>
      </c>
      <c r="F167" s="85">
        <v>74400</v>
      </c>
      <c r="G167" s="74" t="s">
        <v>517</v>
      </c>
    </row>
    <row r="168" spans="1:7">
      <c r="A168" s="82">
        <v>46387</v>
      </c>
      <c r="B168" s="74" t="s">
        <v>64</v>
      </c>
      <c r="C168" s="74" t="s">
        <v>163</v>
      </c>
      <c r="D168" s="85">
        <v>27</v>
      </c>
      <c r="E168" s="85">
        <v>20</v>
      </c>
      <c r="F168" s="85">
        <v>58000</v>
      </c>
      <c r="G168" s="74" t="s">
        <v>517</v>
      </c>
    </row>
    <row r="169" spans="1:7">
      <c r="A169" s="82">
        <v>46387</v>
      </c>
      <c r="B169" s="74" t="s">
        <v>64</v>
      </c>
      <c r="C169" s="74" t="s">
        <v>188</v>
      </c>
      <c r="D169" s="85">
        <v>47</v>
      </c>
      <c r="E169" s="85">
        <v>36</v>
      </c>
      <c r="F169" s="85">
        <v>37800</v>
      </c>
      <c r="G169" s="74" t="s">
        <v>517</v>
      </c>
    </row>
    <row r="170" spans="1:7">
      <c r="A170" s="82">
        <v>46387</v>
      </c>
      <c r="B170" s="74" t="s">
        <v>66</v>
      </c>
      <c r="C170" s="74" t="s">
        <v>92</v>
      </c>
      <c r="D170" s="85">
        <v>73</v>
      </c>
      <c r="E170" s="85">
        <v>56</v>
      </c>
      <c r="F170" s="85">
        <v>81200</v>
      </c>
      <c r="G170" s="74" t="s">
        <v>517</v>
      </c>
    </row>
    <row r="171" spans="1:7">
      <c r="A171" s="82">
        <v>46387</v>
      </c>
      <c r="B171" s="74" t="s">
        <v>66</v>
      </c>
      <c r="C171" s="74" t="s">
        <v>119</v>
      </c>
      <c r="D171" s="85">
        <v>46</v>
      </c>
      <c r="E171" s="85">
        <v>35</v>
      </c>
      <c r="F171" s="85">
        <v>52500</v>
      </c>
      <c r="G171" s="74" t="s">
        <v>517</v>
      </c>
    </row>
    <row r="172" spans="1:7">
      <c r="A172" s="82">
        <v>46387</v>
      </c>
      <c r="B172" s="74" t="s">
        <v>66</v>
      </c>
      <c r="C172" s="74" t="s">
        <v>154</v>
      </c>
      <c r="D172" s="85">
        <v>31</v>
      </c>
      <c r="E172" s="85">
        <v>24</v>
      </c>
      <c r="F172" s="85">
        <v>74400</v>
      </c>
      <c r="G172" s="74" t="s">
        <v>517</v>
      </c>
    </row>
    <row r="173" spans="1:7">
      <c r="A173" s="82">
        <v>46387</v>
      </c>
      <c r="B173" s="74" t="s">
        <v>66</v>
      </c>
      <c r="C173" s="74" t="s">
        <v>171</v>
      </c>
      <c r="D173" s="85">
        <v>43</v>
      </c>
      <c r="E173" s="85">
        <v>33</v>
      </c>
      <c r="F173" s="85">
        <v>46200</v>
      </c>
      <c r="G173" s="74" t="s">
        <v>517</v>
      </c>
    </row>
    <row r="174" spans="1:7">
      <c r="A174" s="82">
        <v>46387</v>
      </c>
      <c r="B174" s="74" t="s">
        <v>68</v>
      </c>
      <c r="C174" s="74" t="s">
        <v>98</v>
      </c>
      <c r="D174" s="85">
        <v>66</v>
      </c>
      <c r="E174" s="85">
        <v>51</v>
      </c>
      <c r="F174" s="85">
        <v>48450</v>
      </c>
      <c r="G174" s="74" t="s">
        <v>517</v>
      </c>
    </row>
    <row r="175" spans="1:7">
      <c r="A175" s="82">
        <v>46387</v>
      </c>
      <c r="B175" s="74" t="s">
        <v>68</v>
      </c>
      <c r="C175" s="74" t="s">
        <v>121</v>
      </c>
      <c r="D175" s="85">
        <v>42</v>
      </c>
      <c r="E175" s="85">
        <v>32</v>
      </c>
      <c r="F175" s="85">
        <v>83200</v>
      </c>
      <c r="G175" s="74" t="s">
        <v>517</v>
      </c>
    </row>
    <row r="176" spans="1:7">
      <c r="A176" s="82">
        <v>46387</v>
      </c>
      <c r="B176" s="74" t="s">
        <v>68</v>
      </c>
      <c r="C176" s="74" t="s">
        <v>158</v>
      </c>
      <c r="D176" s="85">
        <v>52</v>
      </c>
      <c r="E176" s="85">
        <v>71</v>
      </c>
      <c r="F176" s="85">
        <v>234300</v>
      </c>
      <c r="G176" s="74" t="s">
        <v>518</v>
      </c>
    </row>
    <row r="177" spans="1:7">
      <c r="A177" s="82">
        <v>46387</v>
      </c>
      <c r="B177" s="74" t="s">
        <v>68</v>
      </c>
      <c r="C177" s="74" t="s">
        <v>191</v>
      </c>
      <c r="D177" s="85">
        <v>51</v>
      </c>
      <c r="E177" s="85">
        <v>38</v>
      </c>
      <c r="F177" s="85">
        <v>47500</v>
      </c>
      <c r="G177" s="74" t="s">
        <v>517</v>
      </c>
    </row>
    <row r="178" spans="1:7">
      <c r="A178" s="82">
        <v>46387</v>
      </c>
      <c r="B178" s="74" t="s">
        <v>70</v>
      </c>
      <c r="C178" s="74" t="s">
        <v>102</v>
      </c>
      <c r="D178" s="85">
        <v>65</v>
      </c>
      <c r="E178" s="85">
        <v>50</v>
      </c>
      <c r="F178" s="85">
        <v>60000</v>
      </c>
      <c r="G178" s="74" t="s">
        <v>517</v>
      </c>
    </row>
    <row r="179" spans="1:7">
      <c r="A179" s="82">
        <v>46387</v>
      </c>
      <c r="B179" s="74" t="s">
        <v>70</v>
      </c>
      <c r="C179" s="74" t="s">
        <v>122</v>
      </c>
      <c r="D179" s="85">
        <v>45</v>
      </c>
      <c r="E179" s="85">
        <v>34</v>
      </c>
      <c r="F179" s="85">
        <v>71400</v>
      </c>
      <c r="G179" s="74" t="s">
        <v>517</v>
      </c>
    </row>
    <row r="180" spans="1:7">
      <c r="A180" s="82">
        <v>46387</v>
      </c>
      <c r="B180" s="74" t="s">
        <v>70</v>
      </c>
      <c r="C180" s="74" t="s">
        <v>155</v>
      </c>
      <c r="D180" s="85">
        <v>30</v>
      </c>
      <c r="E180" s="85">
        <v>23</v>
      </c>
      <c r="F180" s="85">
        <v>71300</v>
      </c>
      <c r="G180" s="74" t="s">
        <v>517</v>
      </c>
    </row>
    <row r="181" spans="1:7">
      <c r="A181" s="82">
        <v>46387</v>
      </c>
      <c r="B181" s="74" t="s">
        <v>70</v>
      </c>
      <c r="C181" s="74" t="s">
        <v>193</v>
      </c>
      <c r="D181" s="85">
        <v>49</v>
      </c>
      <c r="E181" s="85">
        <v>37</v>
      </c>
      <c r="F181" s="85">
        <v>49950</v>
      </c>
      <c r="G181" s="74" t="s">
        <v>517</v>
      </c>
    </row>
    <row r="182" spans="1:7">
      <c r="A182" s="82">
        <v>46387</v>
      </c>
      <c r="B182" s="74" t="s">
        <v>72</v>
      </c>
      <c r="C182" s="74" t="s">
        <v>94</v>
      </c>
      <c r="D182" s="85">
        <v>76</v>
      </c>
      <c r="E182" s="85">
        <v>58</v>
      </c>
      <c r="F182" s="85">
        <v>84100</v>
      </c>
      <c r="G182" s="74" t="s">
        <v>517</v>
      </c>
    </row>
    <row r="183" spans="1:7">
      <c r="A183" s="82">
        <v>46387</v>
      </c>
      <c r="B183" s="74" t="s">
        <v>72</v>
      </c>
      <c r="C183" s="74" t="s">
        <v>124</v>
      </c>
      <c r="D183" s="85">
        <v>47</v>
      </c>
      <c r="E183" s="85">
        <v>36</v>
      </c>
      <c r="F183" s="85">
        <v>93600</v>
      </c>
      <c r="G183" s="74" t="s">
        <v>517</v>
      </c>
    </row>
    <row r="184" spans="1:7">
      <c r="A184" s="82">
        <v>46387</v>
      </c>
      <c r="B184" s="74" t="s">
        <v>72</v>
      </c>
      <c r="C184" s="74" t="s">
        <v>159</v>
      </c>
      <c r="D184" s="85">
        <v>32</v>
      </c>
      <c r="E184" s="85">
        <v>24</v>
      </c>
      <c r="F184" s="85">
        <v>79200</v>
      </c>
      <c r="G184" s="74" t="s">
        <v>517</v>
      </c>
    </row>
    <row r="185" spans="1:7">
      <c r="A185" s="82">
        <v>46387</v>
      </c>
      <c r="B185" s="74" t="s">
        <v>72</v>
      </c>
      <c r="C185" s="74" t="s">
        <v>168</v>
      </c>
      <c r="D185" s="85">
        <v>44</v>
      </c>
      <c r="E185" s="85">
        <v>34</v>
      </c>
      <c r="F185" s="85">
        <v>51000</v>
      </c>
      <c r="G185" s="74" t="s">
        <v>517</v>
      </c>
    </row>
    <row r="186" spans="1:7">
      <c r="A186" s="82">
        <v>46387</v>
      </c>
      <c r="B186" s="74" t="s">
        <v>74</v>
      </c>
      <c r="C186" s="74" t="s">
        <v>105</v>
      </c>
      <c r="D186" s="85">
        <v>63</v>
      </c>
      <c r="E186" s="85">
        <v>48</v>
      </c>
      <c r="F186" s="85">
        <v>57600</v>
      </c>
      <c r="G186" s="74" t="s">
        <v>517</v>
      </c>
    </row>
    <row r="187" spans="1:7">
      <c r="A187" s="82">
        <v>46387</v>
      </c>
      <c r="B187" s="74" t="s">
        <v>74</v>
      </c>
      <c r="C187" s="74" t="s">
        <v>131</v>
      </c>
      <c r="D187" s="85">
        <v>40</v>
      </c>
      <c r="E187" s="85">
        <v>30</v>
      </c>
      <c r="F187" s="85">
        <v>63000</v>
      </c>
      <c r="G187" s="74" t="s">
        <v>517</v>
      </c>
    </row>
    <row r="188" spans="1:7">
      <c r="A188" s="82">
        <v>46387</v>
      </c>
      <c r="B188" s="74" t="s">
        <v>74</v>
      </c>
      <c r="C188" s="74" t="s">
        <v>164</v>
      </c>
      <c r="D188" s="85">
        <v>29</v>
      </c>
      <c r="E188" s="85">
        <v>22</v>
      </c>
      <c r="F188" s="85">
        <v>63800</v>
      </c>
      <c r="G188" s="74" t="s">
        <v>517</v>
      </c>
    </row>
    <row r="189" spans="1:7">
      <c r="A189" s="82">
        <v>46387</v>
      </c>
      <c r="B189" s="74" t="s">
        <v>74</v>
      </c>
      <c r="C189" s="74" t="s">
        <v>183</v>
      </c>
      <c r="D189" s="85">
        <v>46</v>
      </c>
      <c r="E189" s="85">
        <v>35</v>
      </c>
      <c r="F189" s="85">
        <v>30450</v>
      </c>
      <c r="G189" s="74" t="s">
        <v>517</v>
      </c>
    </row>
    <row r="190" spans="1:7">
      <c r="A190" s="82">
        <v>46387</v>
      </c>
      <c r="B190" s="74" t="s">
        <v>76</v>
      </c>
      <c r="C190" s="74" t="s">
        <v>106</v>
      </c>
      <c r="D190" s="85">
        <v>71</v>
      </c>
      <c r="E190" s="85">
        <v>54</v>
      </c>
      <c r="F190" s="85">
        <v>78300</v>
      </c>
      <c r="G190" s="74" t="s">
        <v>517</v>
      </c>
    </row>
    <row r="191" spans="1:7">
      <c r="A191" s="82">
        <v>46387</v>
      </c>
      <c r="B191" s="74" t="s">
        <v>76</v>
      </c>
      <c r="C191" s="74" t="s">
        <v>133</v>
      </c>
      <c r="D191" s="85">
        <v>39</v>
      </c>
      <c r="E191" s="85">
        <v>30</v>
      </c>
      <c r="F191" s="85">
        <v>63000</v>
      </c>
      <c r="G191" s="74" t="s">
        <v>517</v>
      </c>
    </row>
    <row r="192" spans="1:7">
      <c r="A192" s="82">
        <v>46387</v>
      </c>
      <c r="B192" s="74" t="s">
        <v>76</v>
      </c>
      <c r="C192" s="74" t="s">
        <v>172</v>
      </c>
      <c r="D192" s="85">
        <v>31</v>
      </c>
      <c r="E192" s="85">
        <v>24</v>
      </c>
      <c r="F192" s="85">
        <v>33600</v>
      </c>
      <c r="G192" s="74" t="s">
        <v>517</v>
      </c>
    </row>
    <row r="193" spans="1:7">
      <c r="A193" s="82">
        <v>46387</v>
      </c>
      <c r="B193" s="74" t="s">
        <v>76</v>
      </c>
      <c r="C193" s="74" t="s">
        <v>190</v>
      </c>
      <c r="D193" s="85">
        <v>47</v>
      </c>
      <c r="E193" s="85">
        <v>36</v>
      </c>
      <c r="F193" s="85">
        <v>37800</v>
      </c>
      <c r="G193" s="74" t="s">
        <v>517</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49F2-DE66-4589-86F2-9114EB5917C6}">
  <dimension ref="A1:L73"/>
  <sheetViews>
    <sheetView workbookViewId="0"/>
  </sheetViews>
  <sheetFormatPr defaultRowHeight="15"/>
  <cols>
    <col min="1" max="1" width="14.5703125" bestFit="1" customWidth="1"/>
    <col min="2" max="2" width="14.28515625" bestFit="1" customWidth="1"/>
    <col min="3" max="3" width="15.140625" bestFit="1" customWidth="1"/>
    <col min="4" max="4" width="16.42578125" bestFit="1" customWidth="1"/>
    <col min="5" max="5" width="9.5703125" bestFit="1" customWidth="1"/>
    <col min="6" max="6" width="9" bestFit="1" customWidth="1"/>
    <col min="7" max="7" width="17.42578125" bestFit="1" customWidth="1"/>
    <col min="8" max="8" width="11.42578125" bestFit="1" customWidth="1"/>
    <col min="9" max="9" width="17" bestFit="1" customWidth="1"/>
    <col min="10" max="10" width="19.5703125" bestFit="1" customWidth="1"/>
    <col min="11" max="11" width="22" bestFit="1" customWidth="1"/>
    <col min="12" max="12" width="18.28515625" bestFit="1" customWidth="1"/>
  </cols>
  <sheetData>
    <row r="1" spans="1:12">
      <c r="A1" t="s">
        <v>519</v>
      </c>
      <c r="B1" t="s">
        <v>520</v>
      </c>
      <c r="C1" t="s">
        <v>52</v>
      </c>
      <c r="D1" t="s">
        <v>18</v>
      </c>
      <c r="E1" t="s">
        <v>16</v>
      </c>
      <c r="F1" t="s">
        <v>0</v>
      </c>
      <c r="G1" t="s">
        <v>521</v>
      </c>
      <c r="H1" t="s">
        <v>522</v>
      </c>
      <c r="I1" t="s">
        <v>523</v>
      </c>
      <c r="J1" t="s">
        <v>524</v>
      </c>
      <c r="K1" t="s">
        <v>525</v>
      </c>
      <c r="L1" t="s">
        <v>526</v>
      </c>
    </row>
    <row r="2" spans="1:12">
      <c r="A2" s="74" t="s">
        <v>527</v>
      </c>
      <c r="B2" s="82">
        <v>46027</v>
      </c>
      <c r="C2" s="74" t="s">
        <v>54</v>
      </c>
      <c r="D2" s="74" t="s">
        <v>22</v>
      </c>
      <c r="E2" s="74" t="s">
        <v>20</v>
      </c>
      <c r="F2" s="74" t="s">
        <v>4</v>
      </c>
      <c r="G2" s="85">
        <v>85000</v>
      </c>
      <c r="H2" s="82">
        <v>46057</v>
      </c>
      <c r="I2" s="85">
        <v>46055</v>
      </c>
      <c r="J2" s="85">
        <v>85000</v>
      </c>
      <c r="K2" s="10">
        <f t="shared" ref="K2:K33" si="0">G2-J2</f>
        <v>0</v>
      </c>
      <c r="L2" s="74" t="str">
        <f t="shared" ref="L2:L33" si="1">IF(K2=0,"Paid",IF(J2=0,"Outstanding","Partial"))</f>
        <v>Paid</v>
      </c>
    </row>
    <row r="3" spans="1:12">
      <c r="A3" s="74" t="s">
        <v>528</v>
      </c>
      <c r="B3" s="82">
        <v>46030</v>
      </c>
      <c r="C3" s="74" t="s">
        <v>56</v>
      </c>
      <c r="D3" s="74" t="s">
        <v>24</v>
      </c>
      <c r="E3" s="74" t="s">
        <v>20</v>
      </c>
      <c r="F3" s="74" t="s">
        <v>4</v>
      </c>
      <c r="G3" s="85">
        <v>92000</v>
      </c>
      <c r="H3" s="82">
        <v>46060</v>
      </c>
      <c r="I3" s="85">
        <v>46058</v>
      </c>
      <c r="J3" s="85">
        <v>92000</v>
      </c>
      <c r="K3" s="10">
        <f t="shared" si="0"/>
        <v>0</v>
      </c>
      <c r="L3" s="74" t="str">
        <f t="shared" si="1"/>
        <v>Paid</v>
      </c>
    </row>
    <row r="4" spans="1:12">
      <c r="A4" s="74" t="s">
        <v>529</v>
      </c>
      <c r="B4" s="82">
        <v>46034</v>
      </c>
      <c r="C4" s="74" t="s">
        <v>58</v>
      </c>
      <c r="D4" s="74" t="s">
        <v>26</v>
      </c>
      <c r="E4" s="74" t="s">
        <v>20</v>
      </c>
      <c r="F4" s="74" t="s">
        <v>4</v>
      </c>
      <c r="G4" s="85">
        <v>78000</v>
      </c>
      <c r="H4" s="82">
        <v>46064</v>
      </c>
      <c r="I4" s="85">
        <v>46063</v>
      </c>
      <c r="J4" s="85">
        <v>60000</v>
      </c>
      <c r="K4" s="10">
        <f t="shared" si="0"/>
        <v>18000</v>
      </c>
      <c r="L4" s="74" t="str">
        <f t="shared" si="1"/>
        <v>Partial</v>
      </c>
    </row>
    <row r="5" spans="1:12">
      <c r="A5" s="74" t="s">
        <v>530</v>
      </c>
      <c r="B5" s="82">
        <v>46037</v>
      </c>
      <c r="C5" s="74" t="s">
        <v>60</v>
      </c>
      <c r="D5" s="74" t="s">
        <v>30</v>
      </c>
      <c r="E5" s="74" t="s">
        <v>28</v>
      </c>
      <c r="F5" s="74" t="s">
        <v>8</v>
      </c>
      <c r="G5" s="85">
        <v>105000</v>
      </c>
      <c r="H5" s="82">
        <v>46067</v>
      </c>
      <c r="I5" s="85">
        <v>46067</v>
      </c>
      <c r="J5" s="85">
        <v>105000</v>
      </c>
      <c r="K5" s="10">
        <f t="shared" si="0"/>
        <v>0</v>
      </c>
      <c r="L5" s="74" t="str">
        <f t="shared" si="1"/>
        <v>Paid</v>
      </c>
    </row>
    <row r="6" spans="1:12">
      <c r="A6" s="74" t="s">
        <v>531</v>
      </c>
      <c r="B6" s="82">
        <v>46042</v>
      </c>
      <c r="C6" s="74" t="s">
        <v>62</v>
      </c>
      <c r="D6" s="74" t="s">
        <v>32</v>
      </c>
      <c r="E6" s="74" t="s">
        <v>28</v>
      </c>
      <c r="F6" s="74" t="s">
        <v>8</v>
      </c>
      <c r="G6" s="85">
        <v>115000</v>
      </c>
      <c r="H6" s="82">
        <v>46072</v>
      </c>
      <c r="I6" s="85">
        <v>46071</v>
      </c>
      <c r="J6" s="85">
        <v>115000</v>
      </c>
      <c r="K6" s="10">
        <f t="shared" si="0"/>
        <v>0</v>
      </c>
      <c r="L6" s="74" t="str">
        <f t="shared" si="1"/>
        <v>Paid</v>
      </c>
    </row>
    <row r="7" spans="1:12">
      <c r="A7" s="74" t="s">
        <v>532</v>
      </c>
      <c r="B7" s="82">
        <v>46046</v>
      </c>
      <c r="C7" s="74" t="s">
        <v>64</v>
      </c>
      <c r="D7" s="74" t="s">
        <v>34</v>
      </c>
      <c r="E7" s="74" t="s">
        <v>28</v>
      </c>
      <c r="F7" s="74" t="s">
        <v>8</v>
      </c>
      <c r="G7" s="85">
        <v>88000</v>
      </c>
      <c r="H7" s="82">
        <v>46076</v>
      </c>
      <c r="I7" s="85"/>
      <c r="J7" s="85">
        <v>0</v>
      </c>
      <c r="K7" s="10">
        <f t="shared" si="0"/>
        <v>88000</v>
      </c>
      <c r="L7" s="74" t="str">
        <f t="shared" si="1"/>
        <v>Outstanding</v>
      </c>
    </row>
    <row r="8" spans="1:12">
      <c r="A8" s="74" t="s">
        <v>533</v>
      </c>
      <c r="B8" s="82">
        <v>46050</v>
      </c>
      <c r="C8" s="74" t="s">
        <v>66</v>
      </c>
      <c r="D8" s="74" t="s">
        <v>38</v>
      </c>
      <c r="E8" s="74" t="s">
        <v>36</v>
      </c>
      <c r="F8" s="74" t="s">
        <v>11</v>
      </c>
      <c r="G8" s="85">
        <v>97000</v>
      </c>
      <c r="H8" s="82">
        <v>46080</v>
      </c>
      <c r="I8" s="85">
        <v>46078</v>
      </c>
      <c r="J8" s="85">
        <v>97000</v>
      </c>
      <c r="K8" s="10">
        <f t="shared" si="0"/>
        <v>0</v>
      </c>
      <c r="L8" s="74" t="str">
        <f t="shared" si="1"/>
        <v>Paid</v>
      </c>
    </row>
    <row r="9" spans="1:12">
      <c r="A9" s="74" t="s">
        <v>534</v>
      </c>
      <c r="B9" s="82">
        <v>46056</v>
      </c>
      <c r="C9" s="74" t="s">
        <v>68</v>
      </c>
      <c r="D9" s="74" t="s">
        <v>40</v>
      </c>
      <c r="E9" s="74" t="s">
        <v>36</v>
      </c>
      <c r="F9" s="74" t="s">
        <v>11</v>
      </c>
      <c r="G9" s="85">
        <v>112000</v>
      </c>
      <c r="H9" s="82">
        <v>46086</v>
      </c>
      <c r="I9" s="85">
        <v>46084</v>
      </c>
      <c r="J9" s="85">
        <v>80000</v>
      </c>
      <c r="K9" s="10">
        <f t="shared" si="0"/>
        <v>32000</v>
      </c>
      <c r="L9" s="74" t="str">
        <f t="shared" si="1"/>
        <v>Partial</v>
      </c>
    </row>
    <row r="10" spans="1:12">
      <c r="A10" s="74" t="s">
        <v>535</v>
      </c>
      <c r="B10" s="82">
        <v>46060</v>
      </c>
      <c r="C10" s="74" t="s">
        <v>70</v>
      </c>
      <c r="D10" s="74" t="s">
        <v>42</v>
      </c>
      <c r="E10" s="74" t="s">
        <v>36</v>
      </c>
      <c r="F10" s="74" t="s">
        <v>11</v>
      </c>
      <c r="G10" s="85">
        <v>89000</v>
      </c>
      <c r="H10" s="82">
        <v>46090</v>
      </c>
      <c r="I10" s="85">
        <v>46090</v>
      </c>
      <c r="J10" s="85">
        <v>89000</v>
      </c>
      <c r="K10" s="10">
        <f t="shared" si="0"/>
        <v>0</v>
      </c>
      <c r="L10" s="74" t="str">
        <f t="shared" si="1"/>
        <v>Paid</v>
      </c>
    </row>
    <row r="11" spans="1:12">
      <c r="A11" s="74" t="s">
        <v>536</v>
      </c>
      <c r="B11" s="82">
        <v>46064</v>
      </c>
      <c r="C11" s="74" t="s">
        <v>72</v>
      </c>
      <c r="D11" s="74" t="s">
        <v>46</v>
      </c>
      <c r="E11" s="74" t="s">
        <v>44</v>
      </c>
      <c r="F11" s="74" t="s">
        <v>14</v>
      </c>
      <c r="G11" s="85">
        <v>125000</v>
      </c>
      <c r="H11" s="82">
        <v>46093</v>
      </c>
      <c r="I11" s="85">
        <v>46091</v>
      </c>
      <c r="J11" s="85">
        <v>125000</v>
      </c>
      <c r="K11" s="10">
        <f t="shared" si="0"/>
        <v>0</v>
      </c>
      <c r="L11" s="74" t="str">
        <f t="shared" si="1"/>
        <v>Paid</v>
      </c>
    </row>
    <row r="12" spans="1:12">
      <c r="A12" s="74" t="s">
        <v>537</v>
      </c>
      <c r="B12" s="82">
        <v>46068</v>
      </c>
      <c r="C12" s="74" t="s">
        <v>74</v>
      </c>
      <c r="D12" s="74" t="s">
        <v>48</v>
      </c>
      <c r="E12" s="74" t="s">
        <v>44</v>
      </c>
      <c r="F12" s="74" t="s">
        <v>14</v>
      </c>
      <c r="G12" s="85">
        <v>76000</v>
      </c>
      <c r="H12" s="82">
        <v>46097</v>
      </c>
      <c r="I12" s="85"/>
      <c r="J12" s="85">
        <v>0</v>
      </c>
      <c r="K12" s="10">
        <f t="shared" si="0"/>
        <v>76000</v>
      </c>
      <c r="L12" s="74" t="str">
        <f t="shared" si="1"/>
        <v>Outstanding</v>
      </c>
    </row>
    <row r="13" spans="1:12">
      <c r="A13" s="74" t="s">
        <v>538</v>
      </c>
      <c r="B13" s="82">
        <v>46073</v>
      </c>
      <c r="C13" s="74" t="s">
        <v>76</v>
      </c>
      <c r="D13" s="74" t="s">
        <v>50</v>
      </c>
      <c r="E13" s="74" t="s">
        <v>44</v>
      </c>
      <c r="F13" s="74" t="s">
        <v>14</v>
      </c>
      <c r="G13" s="85">
        <v>108000</v>
      </c>
      <c r="H13" s="82">
        <v>46102</v>
      </c>
      <c r="I13" s="85">
        <v>46101</v>
      </c>
      <c r="J13" s="85">
        <v>90000</v>
      </c>
      <c r="K13" s="10">
        <f t="shared" si="0"/>
        <v>18000</v>
      </c>
      <c r="L13" s="74" t="str">
        <f t="shared" si="1"/>
        <v>Partial</v>
      </c>
    </row>
    <row r="14" spans="1:12">
      <c r="A14" s="74" t="s">
        <v>539</v>
      </c>
      <c r="B14" s="82">
        <v>46086</v>
      </c>
      <c r="C14" s="74" t="s">
        <v>54</v>
      </c>
      <c r="D14" s="74" t="s">
        <v>22</v>
      </c>
      <c r="E14" s="74" t="s">
        <v>20</v>
      </c>
      <c r="F14" s="74" t="s">
        <v>4</v>
      </c>
      <c r="G14" s="85">
        <v>95000</v>
      </c>
      <c r="H14" s="82">
        <v>46116</v>
      </c>
      <c r="I14" s="85">
        <v>46114</v>
      </c>
      <c r="J14" s="85">
        <v>95000</v>
      </c>
      <c r="K14" s="10">
        <f t="shared" si="0"/>
        <v>0</v>
      </c>
      <c r="L14" s="74" t="str">
        <f t="shared" si="1"/>
        <v>Paid</v>
      </c>
    </row>
    <row r="15" spans="1:12">
      <c r="A15" s="74" t="s">
        <v>540</v>
      </c>
      <c r="B15" s="82">
        <v>46091</v>
      </c>
      <c r="C15" s="74" t="s">
        <v>56</v>
      </c>
      <c r="D15" s="74" t="s">
        <v>24</v>
      </c>
      <c r="E15" s="74" t="s">
        <v>20</v>
      </c>
      <c r="F15" s="74" t="s">
        <v>4</v>
      </c>
      <c r="G15" s="85">
        <v>118000</v>
      </c>
      <c r="H15" s="82">
        <v>46121</v>
      </c>
      <c r="I15" s="85">
        <v>46120</v>
      </c>
      <c r="J15" s="85">
        <v>118000</v>
      </c>
      <c r="K15" s="10">
        <f t="shared" si="0"/>
        <v>0</v>
      </c>
      <c r="L15" s="74" t="str">
        <f t="shared" si="1"/>
        <v>Paid</v>
      </c>
    </row>
    <row r="16" spans="1:12">
      <c r="A16" s="74" t="s">
        <v>541</v>
      </c>
      <c r="B16" s="82">
        <v>46096</v>
      </c>
      <c r="C16" s="74" t="s">
        <v>58</v>
      </c>
      <c r="D16" s="74" t="s">
        <v>26</v>
      </c>
      <c r="E16" s="74" t="s">
        <v>20</v>
      </c>
      <c r="F16" s="74" t="s">
        <v>4</v>
      </c>
      <c r="G16" s="85">
        <v>82000</v>
      </c>
      <c r="H16" s="82">
        <v>46126</v>
      </c>
      <c r="I16" s="85"/>
      <c r="J16" s="85">
        <v>0</v>
      </c>
      <c r="K16" s="10">
        <f t="shared" si="0"/>
        <v>82000</v>
      </c>
      <c r="L16" s="74" t="str">
        <f t="shared" si="1"/>
        <v>Outstanding</v>
      </c>
    </row>
    <row r="17" spans="1:12">
      <c r="A17" s="74" t="s">
        <v>542</v>
      </c>
      <c r="B17" s="82">
        <v>46101</v>
      </c>
      <c r="C17" s="74" t="s">
        <v>60</v>
      </c>
      <c r="D17" s="74" t="s">
        <v>30</v>
      </c>
      <c r="E17" s="74" t="s">
        <v>28</v>
      </c>
      <c r="F17" s="74" t="s">
        <v>8</v>
      </c>
      <c r="G17" s="85">
        <v>110000</v>
      </c>
      <c r="H17" s="82">
        <v>46131</v>
      </c>
      <c r="I17" s="85">
        <v>46129</v>
      </c>
      <c r="J17" s="85">
        <v>70000</v>
      </c>
      <c r="K17" s="10">
        <f t="shared" si="0"/>
        <v>40000</v>
      </c>
      <c r="L17" s="74" t="str">
        <f t="shared" si="1"/>
        <v>Partial</v>
      </c>
    </row>
    <row r="18" spans="1:12">
      <c r="A18" s="74" t="s">
        <v>543</v>
      </c>
      <c r="B18" s="82">
        <v>46106</v>
      </c>
      <c r="C18" s="74" t="s">
        <v>62</v>
      </c>
      <c r="D18" s="74" t="s">
        <v>32</v>
      </c>
      <c r="E18" s="74" t="s">
        <v>28</v>
      </c>
      <c r="F18" s="74" t="s">
        <v>8</v>
      </c>
      <c r="G18" s="85">
        <v>125000</v>
      </c>
      <c r="H18" s="82">
        <v>46136</v>
      </c>
      <c r="I18" s="85">
        <v>46136</v>
      </c>
      <c r="J18" s="85">
        <v>125000</v>
      </c>
      <c r="K18" s="10">
        <f t="shared" si="0"/>
        <v>0</v>
      </c>
      <c r="L18" s="74" t="str">
        <f t="shared" si="1"/>
        <v>Paid</v>
      </c>
    </row>
    <row r="19" spans="1:12">
      <c r="A19" s="74" t="s">
        <v>544</v>
      </c>
      <c r="B19" s="82">
        <v>46109</v>
      </c>
      <c r="C19" s="74" t="s">
        <v>64</v>
      </c>
      <c r="D19" s="74" t="s">
        <v>34</v>
      </c>
      <c r="E19" s="74" t="s">
        <v>28</v>
      </c>
      <c r="F19" s="74" t="s">
        <v>8</v>
      </c>
      <c r="G19" s="85">
        <v>93000</v>
      </c>
      <c r="H19" s="82">
        <v>46139</v>
      </c>
      <c r="I19" s="85">
        <v>46138</v>
      </c>
      <c r="J19" s="85">
        <v>93000</v>
      </c>
      <c r="K19" s="10">
        <f t="shared" si="0"/>
        <v>0</v>
      </c>
      <c r="L19" s="74" t="str">
        <f t="shared" si="1"/>
        <v>Paid</v>
      </c>
    </row>
    <row r="20" spans="1:12">
      <c r="A20" s="74" t="s">
        <v>545</v>
      </c>
      <c r="B20" s="82">
        <v>46114</v>
      </c>
      <c r="C20" s="74" t="s">
        <v>66</v>
      </c>
      <c r="D20" s="74" t="s">
        <v>38</v>
      </c>
      <c r="E20" s="74" t="s">
        <v>36</v>
      </c>
      <c r="F20" s="74" t="s">
        <v>11</v>
      </c>
      <c r="G20" s="85">
        <v>102000</v>
      </c>
      <c r="H20" s="82">
        <v>46144</v>
      </c>
      <c r="I20" s="85">
        <v>46142</v>
      </c>
      <c r="J20" s="85">
        <v>102000</v>
      </c>
      <c r="K20" s="10">
        <f t="shared" si="0"/>
        <v>0</v>
      </c>
      <c r="L20" s="74" t="str">
        <f t="shared" si="1"/>
        <v>Paid</v>
      </c>
    </row>
    <row r="21" spans="1:12">
      <c r="A21" s="74" t="s">
        <v>546</v>
      </c>
      <c r="B21" s="82">
        <v>46120</v>
      </c>
      <c r="C21" s="74" t="s">
        <v>68</v>
      </c>
      <c r="D21" s="74" t="s">
        <v>40</v>
      </c>
      <c r="E21" s="74" t="s">
        <v>36</v>
      </c>
      <c r="F21" s="74" t="s">
        <v>11</v>
      </c>
      <c r="G21" s="85">
        <v>120000</v>
      </c>
      <c r="H21" s="82">
        <v>46150</v>
      </c>
      <c r="I21" s="85"/>
      <c r="J21" s="85">
        <v>0</v>
      </c>
      <c r="K21" s="10">
        <f t="shared" si="0"/>
        <v>120000</v>
      </c>
      <c r="L21" s="74" t="str">
        <f t="shared" si="1"/>
        <v>Outstanding</v>
      </c>
    </row>
    <row r="22" spans="1:12">
      <c r="A22" s="74" t="s">
        <v>547</v>
      </c>
      <c r="B22" s="82">
        <v>46126</v>
      </c>
      <c r="C22" s="74" t="s">
        <v>70</v>
      </c>
      <c r="D22" s="74" t="s">
        <v>42</v>
      </c>
      <c r="E22" s="74" t="s">
        <v>36</v>
      </c>
      <c r="F22" s="74" t="s">
        <v>11</v>
      </c>
      <c r="G22" s="85">
        <v>94000</v>
      </c>
      <c r="H22" s="82">
        <v>46156</v>
      </c>
      <c r="I22" s="85">
        <v>46154</v>
      </c>
      <c r="J22" s="85">
        <v>94000</v>
      </c>
      <c r="K22" s="10">
        <f t="shared" si="0"/>
        <v>0</v>
      </c>
      <c r="L22" s="74" t="str">
        <f t="shared" si="1"/>
        <v>Paid</v>
      </c>
    </row>
    <row r="23" spans="1:12">
      <c r="A23" s="74" t="s">
        <v>548</v>
      </c>
      <c r="B23" s="82">
        <v>46132</v>
      </c>
      <c r="C23" s="74" t="s">
        <v>72</v>
      </c>
      <c r="D23" s="74" t="s">
        <v>46</v>
      </c>
      <c r="E23" s="74" t="s">
        <v>44</v>
      </c>
      <c r="F23" s="74" t="s">
        <v>14</v>
      </c>
      <c r="G23" s="85">
        <v>135000</v>
      </c>
      <c r="H23" s="82">
        <v>46162</v>
      </c>
      <c r="I23" s="85">
        <v>46161</v>
      </c>
      <c r="J23" s="85">
        <v>135000</v>
      </c>
      <c r="K23" s="10">
        <f t="shared" si="0"/>
        <v>0</v>
      </c>
      <c r="L23" s="74" t="str">
        <f t="shared" si="1"/>
        <v>Paid</v>
      </c>
    </row>
    <row r="24" spans="1:12">
      <c r="A24" s="74" t="s">
        <v>549</v>
      </c>
      <c r="B24" s="82">
        <v>46137</v>
      </c>
      <c r="C24" s="74" t="s">
        <v>74</v>
      </c>
      <c r="D24" s="74" t="s">
        <v>48</v>
      </c>
      <c r="E24" s="74" t="s">
        <v>44</v>
      </c>
      <c r="F24" s="74" t="s">
        <v>14</v>
      </c>
      <c r="G24" s="85">
        <v>84000</v>
      </c>
      <c r="H24" s="82">
        <v>46167</v>
      </c>
      <c r="I24" s="85"/>
      <c r="J24" s="85">
        <v>0</v>
      </c>
      <c r="K24" s="10">
        <f t="shared" si="0"/>
        <v>84000</v>
      </c>
      <c r="L24" s="74" t="str">
        <f t="shared" si="1"/>
        <v>Outstanding</v>
      </c>
    </row>
    <row r="25" spans="1:12">
      <c r="A25" s="74" t="s">
        <v>550</v>
      </c>
      <c r="B25" s="82">
        <v>46140</v>
      </c>
      <c r="C25" s="74" t="s">
        <v>76</v>
      </c>
      <c r="D25" s="74" t="s">
        <v>50</v>
      </c>
      <c r="E25" s="74" t="s">
        <v>44</v>
      </c>
      <c r="F25" s="74" t="s">
        <v>14</v>
      </c>
      <c r="G25" s="85">
        <v>115000</v>
      </c>
      <c r="H25" s="82">
        <v>46170</v>
      </c>
      <c r="I25" s="85">
        <v>46169</v>
      </c>
      <c r="J25" s="85">
        <v>100000</v>
      </c>
      <c r="K25" s="10">
        <f t="shared" si="0"/>
        <v>15000</v>
      </c>
      <c r="L25" s="74" t="str">
        <f t="shared" si="1"/>
        <v>Partial</v>
      </c>
    </row>
    <row r="26" spans="1:12">
      <c r="A26" s="74" t="s">
        <v>551</v>
      </c>
      <c r="B26" s="82">
        <v>46147</v>
      </c>
      <c r="C26" s="74" t="s">
        <v>54</v>
      </c>
      <c r="D26" s="74" t="s">
        <v>22</v>
      </c>
      <c r="E26" s="74" t="s">
        <v>20</v>
      </c>
      <c r="F26" s="74" t="s">
        <v>4</v>
      </c>
      <c r="G26" s="85">
        <v>108000</v>
      </c>
      <c r="H26" s="82">
        <v>46177</v>
      </c>
      <c r="I26" s="85">
        <v>46176</v>
      </c>
      <c r="J26" s="85">
        <v>108000</v>
      </c>
      <c r="K26" s="10">
        <f t="shared" si="0"/>
        <v>0</v>
      </c>
      <c r="L26" s="74" t="str">
        <f t="shared" si="1"/>
        <v>Paid</v>
      </c>
    </row>
    <row r="27" spans="1:12">
      <c r="A27" s="74" t="s">
        <v>552</v>
      </c>
      <c r="B27" s="82">
        <v>46152</v>
      </c>
      <c r="C27" s="74" t="s">
        <v>56</v>
      </c>
      <c r="D27" s="74" t="s">
        <v>24</v>
      </c>
      <c r="E27" s="74" t="s">
        <v>20</v>
      </c>
      <c r="F27" s="74" t="s">
        <v>4</v>
      </c>
      <c r="G27" s="85">
        <v>125000</v>
      </c>
      <c r="H27" s="82">
        <v>46182</v>
      </c>
      <c r="I27" s="85">
        <v>46181</v>
      </c>
      <c r="J27" s="85">
        <v>125000</v>
      </c>
      <c r="K27" s="10">
        <f t="shared" si="0"/>
        <v>0</v>
      </c>
      <c r="L27" s="74" t="str">
        <f t="shared" si="1"/>
        <v>Paid</v>
      </c>
    </row>
    <row r="28" spans="1:12">
      <c r="A28" s="74" t="s">
        <v>553</v>
      </c>
      <c r="B28" s="82">
        <v>46157</v>
      </c>
      <c r="C28" s="74" t="s">
        <v>58</v>
      </c>
      <c r="D28" s="74" t="s">
        <v>26</v>
      </c>
      <c r="E28" s="74" t="s">
        <v>20</v>
      </c>
      <c r="F28" s="74" t="s">
        <v>4</v>
      </c>
      <c r="G28" s="85">
        <v>90000</v>
      </c>
      <c r="H28" s="82">
        <v>46187</v>
      </c>
      <c r="I28" s="85"/>
      <c r="J28" s="85">
        <v>0</v>
      </c>
      <c r="K28" s="10">
        <f t="shared" si="0"/>
        <v>90000</v>
      </c>
      <c r="L28" s="74" t="str">
        <f t="shared" si="1"/>
        <v>Outstanding</v>
      </c>
    </row>
    <row r="29" spans="1:12">
      <c r="A29" s="74" t="s">
        <v>554</v>
      </c>
      <c r="B29" s="82">
        <v>46162</v>
      </c>
      <c r="C29" s="74" t="s">
        <v>60</v>
      </c>
      <c r="D29" s="74" t="s">
        <v>30</v>
      </c>
      <c r="E29" s="74" t="s">
        <v>28</v>
      </c>
      <c r="F29" s="74" t="s">
        <v>8</v>
      </c>
      <c r="G29" s="85">
        <v>118000</v>
      </c>
      <c r="H29" s="82">
        <v>46192</v>
      </c>
      <c r="I29" s="85">
        <v>46191</v>
      </c>
      <c r="J29" s="85">
        <v>90000</v>
      </c>
      <c r="K29" s="10">
        <f t="shared" si="0"/>
        <v>28000</v>
      </c>
      <c r="L29" s="74" t="str">
        <f t="shared" si="1"/>
        <v>Partial</v>
      </c>
    </row>
    <row r="30" spans="1:12">
      <c r="A30" s="74" t="s">
        <v>555</v>
      </c>
      <c r="B30" s="82">
        <v>46167</v>
      </c>
      <c r="C30" s="74" t="s">
        <v>62</v>
      </c>
      <c r="D30" s="74" t="s">
        <v>32</v>
      </c>
      <c r="E30" s="74" t="s">
        <v>28</v>
      </c>
      <c r="F30" s="74" t="s">
        <v>8</v>
      </c>
      <c r="G30" s="85">
        <v>132000</v>
      </c>
      <c r="H30" s="82">
        <v>46197</v>
      </c>
      <c r="I30" s="85">
        <v>46197</v>
      </c>
      <c r="J30" s="85">
        <v>132000</v>
      </c>
      <c r="K30" s="10">
        <f t="shared" si="0"/>
        <v>0</v>
      </c>
      <c r="L30" s="74" t="str">
        <f t="shared" si="1"/>
        <v>Paid</v>
      </c>
    </row>
    <row r="31" spans="1:12">
      <c r="A31" s="74" t="s">
        <v>556</v>
      </c>
      <c r="B31" s="82">
        <v>46170</v>
      </c>
      <c r="C31" s="74" t="s">
        <v>64</v>
      </c>
      <c r="D31" s="74" t="s">
        <v>34</v>
      </c>
      <c r="E31" s="74" t="s">
        <v>28</v>
      </c>
      <c r="F31" s="74" t="s">
        <v>8</v>
      </c>
      <c r="G31" s="85">
        <v>98000</v>
      </c>
      <c r="H31" s="82">
        <v>46200</v>
      </c>
      <c r="I31" s="85">
        <v>46199</v>
      </c>
      <c r="J31" s="85">
        <v>98000</v>
      </c>
      <c r="K31" s="10">
        <f t="shared" si="0"/>
        <v>0</v>
      </c>
      <c r="L31" s="74" t="str">
        <f t="shared" si="1"/>
        <v>Paid</v>
      </c>
    </row>
    <row r="32" spans="1:12">
      <c r="A32" s="74" t="s">
        <v>557</v>
      </c>
      <c r="B32" s="82">
        <v>46176</v>
      </c>
      <c r="C32" s="74" t="s">
        <v>66</v>
      </c>
      <c r="D32" s="74" t="s">
        <v>38</v>
      </c>
      <c r="E32" s="74" t="s">
        <v>36</v>
      </c>
      <c r="F32" s="74" t="s">
        <v>11</v>
      </c>
      <c r="G32" s="85">
        <v>110000</v>
      </c>
      <c r="H32" s="82">
        <v>46206</v>
      </c>
      <c r="I32" s="85">
        <v>46205</v>
      </c>
      <c r="J32" s="85">
        <v>110000</v>
      </c>
      <c r="K32" s="10">
        <f t="shared" si="0"/>
        <v>0</v>
      </c>
      <c r="L32" s="74" t="str">
        <f t="shared" si="1"/>
        <v>Paid</v>
      </c>
    </row>
    <row r="33" spans="1:12">
      <c r="A33" s="74" t="s">
        <v>558</v>
      </c>
      <c r="B33" s="82">
        <v>46181</v>
      </c>
      <c r="C33" s="74" t="s">
        <v>68</v>
      </c>
      <c r="D33" s="74" t="s">
        <v>40</v>
      </c>
      <c r="E33" s="74" t="s">
        <v>36</v>
      </c>
      <c r="F33" s="74" t="s">
        <v>11</v>
      </c>
      <c r="G33" s="85">
        <v>128000</v>
      </c>
      <c r="H33" s="82">
        <v>46211</v>
      </c>
      <c r="I33" s="85"/>
      <c r="J33" s="85">
        <v>0</v>
      </c>
      <c r="K33" s="10">
        <f t="shared" si="0"/>
        <v>128000</v>
      </c>
      <c r="L33" s="74" t="str">
        <f t="shared" si="1"/>
        <v>Outstanding</v>
      </c>
    </row>
    <row r="34" spans="1:12">
      <c r="A34" s="74" t="s">
        <v>559</v>
      </c>
      <c r="B34" s="82">
        <v>46187</v>
      </c>
      <c r="C34" s="74" t="s">
        <v>70</v>
      </c>
      <c r="D34" s="74" t="s">
        <v>42</v>
      </c>
      <c r="E34" s="74" t="s">
        <v>36</v>
      </c>
      <c r="F34" s="74" t="s">
        <v>11</v>
      </c>
      <c r="G34" s="85">
        <v>99000</v>
      </c>
      <c r="H34" s="82">
        <v>46217</v>
      </c>
      <c r="I34" s="85">
        <v>46215</v>
      </c>
      <c r="J34" s="85">
        <v>99000</v>
      </c>
      <c r="K34" s="10">
        <f t="shared" ref="K34:K65" si="2">G34-J34</f>
        <v>0</v>
      </c>
      <c r="L34" s="74" t="str">
        <f t="shared" ref="L34:L65" si="3">IF(K34=0,"Paid",IF(J34=0,"Outstanding","Partial"))</f>
        <v>Paid</v>
      </c>
    </row>
    <row r="35" spans="1:12">
      <c r="A35" s="74" t="s">
        <v>560</v>
      </c>
      <c r="B35" s="82">
        <v>46193</v>
      </c>
      <c r="C35" s="74" t="s">
        <v>72</v>
      </c>
      <c r="D35" s="74" t="s">
        <v>46</v>
      </c>
      <c r="E35" s="74" t="s">
        <v>44</v>
      </c>
      <c r="F35" s="74" t="s">
        <v>14</v>
      </c>
      <c r="G35" s="85">
        <v>142000</v>
      </c>
      <c r="H35" s="82">
        <v>46223</v>
      </c>
      <c r="I35" s="85">
        <v>46221</v>
      </c>
      <c r="J35" s="85">
        <v>142000</v>
      </c>
      <c r="K35" s="10">
        <f t="shared" si="2"/>
        <v>0</v>
      </c>
      <c r="L35" s="74" t="str">
        <f t="shared" si="3"/>
        <v>Paid</v>
      </c>
    </row>
    <row r="36" spans="1:12">
      <c r="A36" s="74" t="s">
        <v>561</v>
      </c>
      <c r="B36" s="82">
        <v>46198</v>
      </c>
      <c r="C36" s="74" t="s">
        <v>74</v>
      </c>
      <c r="D36" s="74" t="s">
        <v>48</v>
      </c>
      <c r="E36" s="74" t="s">
        <v>44</v>
      </c>
      <c r="F36" s="74" t="s">
        <v>14</v>
      </c>
      <c r="G36" s="85">
        <v>91000</v>
      </c>
      <c r="H36" s="82">
        <v>46228</v>
      </c>
      <c r="I36" s="85"/>
      <c r="J36" s="85">
        <v>0</v>
      </c>
      <c r="K36" s="10">
        <f t="shared" si="2"/>
        <v>91000</v>
      </c>
      <c r="L36" s="74" t="str">
        <f t="shared" si="3"/>
        <v>Outstanding</v>
      </c>
    </row>
    <row r="37" spans="1:12">
      <c r="A37" s="74" t="s">
        <v>562</v>
      </c>
      <c r="B37" s="82">
        <v>46201</v>
      </c>
      <c r="C37" s="74" t="s">
        <v>76</v>
      </c>
      <c r="D37" s="74" t="s">
        <v>50</v>
      </c>
      <c r="E37" s="74" t="s">
        <v>44</v>
      </c>
      <c r="F37" s="74" t="s">
        <v>14</v>
      </c>
      <c r="G37" s="85">
        <v>122000</v>
      </c>
      <c r="H37" s="82">
        <v>46231</v>
      </c>
      <c r="I37" s="85">
        <v>46230</v>
      </c>
      <c r="J37" s="85">
        <v>100000</v>
      </c>
      <c r="K37" s="10">
        <f t="shared" si="2"/>
        <v>22000</v>
      </c>
      <c r="L37" s="74" t="str">
        <f t="shared" si="3"/>
        <v>Partial</v>
      </c>
    </row>
    <row r="38" spans="1:12">
      <c r="A38" s="74" t="s">
        <v>563</v>
      </c>
      <c r="B38" s="82">
        <v>46208</v>
      </c>
      <c r="C38" s="74" t="s">
        <v>54</v>
      </c>
      <c r="D38" s="74" t="s">
        <v>22</v>
      </c>
      <c r="E38" s="74" t="s">
        <v>20</v>
      </c>
      <c r="F38" s="74" t="s">
        <v>4</v>
      </c>
      <c r="G38" s="85">
        <v>115000</v>
      </c>
      <c r="H38" s="82">
        <v>46238</v>
      </c>
      <c r="I38" s="85">
        <v>46236</v>
      </c>
      <c r="J38" s="85">
        <v>115000</v>
      </c>
      <c r="K38" s="10">
        <f t="shared" si="2"/>
        <v>0</v>
      </c>
      <c r="L38" s="74" t="str">
        <f t="shared" si="3"/>
        <v>Paid</v>
      </c>
    </row>
    <row r="39" spans="1:12">
      <c r="A39" s="74" t="s">
        <v>564</v>
      </c>
      <c r="B39" s="82">
        <v>46213</v>
      </c>
      <c r="C39" s="74" t="s">
        <v>56</v>
      </c>
      <c r="D39" s="74" t="s">
        <v>24</v>
      </c>
      <c r="E39" s="74" t="s">
        <v>20</v>
      </c>
      <c r="F39" s="74" t="s">
        <v>4</v>
      </c>
      <c r="G39" s="85">
        <v>132000</v>
      </c>
      <c r="H39" s="82">
        <v>46243</v>
      </c>
      <c r="I39" s="85">
        <v>46242</v>
      </c>
      <c r="J39" s="85">
        <v>132000</v>
      </c>
      <c r="K39" s="10">
        <f t="shared" si="2"/>
        <v>0</v>
      </c>
      <c r="L39" s="74" t="str">
        <f t="shared" si="3"/>
        <v>Paid</v>
      </c>
    </row>
    <row r="40" spans="1:12">
      <c r="A40" s="74" t="s">
        <v>565</v>
      </c>
      <c r="B40" s="82">
        <v>46218</v>
      </c>
      <c r="C40" s="74" t="s">
        <v>58</v>
      </c>
      <c r="D40" s="74" t="s">
        <v>26</v>
      </c>
      <c r="E40" s="74" t="s">
        <v>20</v>
      </c>
      <c r="F40" s="74" t="s">
        <v>4</v>
      </c>
      <c r="G40" s="85">
        <v>96000</v>
      </c>
      <c r="H40" s="82">
        <v>46248</v>
      </c>
      <c r="I40" s="85"/>
      <c r="J40" s="85">
        <v>0</v>
      </c>
      <c r="K40" s="10">
        <f t="shared" si="2"/>
        <v>96000</v>
      </c>
      <c r="L40" s="74" t="str">
        <f t="shared" si="3"/>
        <v>Outstanding</v>
      </c>
    </row>
    <row r="41" spans="1:12">
      <c r="A41" s="74" t="s">
        <v>566</v>
      </c>
      <c r="B41" s="82">
        <v>46223</v>
      </c>
      <c r="C41" s="74" t="s">
        <v>60</v>
      </c>
      <c r="D41" s="74" t="s">
        <v>30</v>
      </c>
      <c r="E41" s="74" t="s">
        <v>28</v>
      </c>
      <c r="F41" s="74" t="s">
        <v>8</v>
      </c>
      <c r="G41" s="85">
        <v>125000</v>
      </c>
      <c r="H41" s="82">
        <v>46253</v>
      </c>
      <c r="I41" s="85">
        <v>46252</v>
      </c>
      <c r="J41" s="85">
        <v>95000</v>
      </c>
      <c r="K41" s="10">
        <f t="shared" si="2"/>
        <v>30000</v>
      </c>
      <c r="L41" s="74" t="str">
        <f t="shared" si="3"/>
        <v>Partial</v>
      </c>
    </row>
    <row r="42" spans="1:12">
      <c r="A42" s="74" t="s">
        <v>567</v>
      </c>
      <c r="B42" s="82">
        <v>46228</v>
      </c>
      <c r="C42" s="74" t="s">
        <v>62</v>
      </c>
      <c r="D42" s="74" t="s">
        <v>32</v>
      </c>
      <c r="E42" s="74" t="s">
        <v>28</v>
      </c>
      <c r="F42" s="74" t="s">
        <v>8</v>
      </c>
      <c r="G42" s="85">
        <v>140000</v>
      </c>
      <c r="H42" s="82">
        <v>46258</v>
      </c>
      <c r="I42" s="85">
        <v>46258</v>
      </c>
      <c r="J42" s="85">
        <v>140000</v>
      </c>
      <c r="K42" s="10">
        <f t="shared" si="2"/>
        <v>0</v>
      </c>
      <c r="L42" s="74" t="str">
        <f t="shared" si="3"/>
        <v>Paid</v>
      </c>
    </row>
    <row r="43" spans="1:12">
      <c r="A43" s="74" t="s">
        <v>568</v>
      </c>
      <c r="B43" s="82">
        <v>46231</v>
      </c>
      <c r="C43" s="74" t="s">
        <v>64</v>
      </c>
      <c r="D43" s="74" t="s">
        <v>34</v>
      </c>
      <c r="E43" s="74" t="s">
        <v>28</v>
      </c>
      <c r="F43" s="74" t="s">
        <v>8</v>
      </c>
      <c r="G43" s="85">
        <v>105000</v>
      </c>
      <c r="H43" s="82">
        <v>46261</v>
      </c>
      <c r="I43" s="85">
        <v>46260</v>
      </c>
      <c r="J43" s="85">
        <v>105000</v>
      </c>
      <c r="K43" s="10">
        <f t="shared" si="2"/>
        <v>0</v>
      </c>
      <c r="L43" s="74" t="str">
        <f t="shared" si="3"/>
        <v>Paid</v>
      </c>
    </row>
    <row r="44" spans="1:12">
      <c r="A44" s="74" t="s">
        <v>569</v>
      </c>
      <c r="B44" s="82">
        <v>46238</v>
      </c>
      <c r="C44" s="74" t="s">
        <v>66</v>
      </c>
      <c r="D44" s="74" t="s">
        <v>38</v>
      </c>
      <c r="E44" s="74" t="s">
        <v>36</v>
      </c>
      <c r="F44" s="74" t="s">
        <v>11</v>
      </c>
      <c r="G44" s="85">
        <v>118000</v>
      </c>
      <c r="H44" s="82">
        <v>46268</v>
      </c>
      <c r="I44" s="85">
        <v>46267</v>
      </c>
      <c r="J44" s="85">
        <v>118000</v>
      </c>
      <c r="K44" s="10">
        <f t="shared" si="2"/>
        <v>0</v>
      </c>
      <c r="L44" s="74" t="str">
        <f t="shared" si="3"/>
        <v>Paid</v>
      </c>
    </row>
    <row r="45" spans="1:12">
      <c r="A45" s="74" t="s">
        <v>570</v>
      </c>
      <c r="B45" s="82">
        <v>46243</v>
      </c>
      <c r="C45" s="74" t="s">
        <v>68</v>
      </c>
      <c r="D45" s="74" t="s">
        <v>40</v>
      </c>
      <c r="E45" s="74" t="s">
        <v>36</v>
      </c>
      <c r="F45" s="74" t="s">
        <v>11</v>
      </c>
      <c r="G45" s="85">
        <v>135000</v>
      </c>
      <c r="H45" s="82">
        <v>46273</v>
      </c>
      <c r="I45" s="85"/>
      <c r="J45" s="85">
        <v>0</v>
      </c>
      <c r="K45" s="10">
        <f t="shared" si="2"/>
        <v>135000</v>
      </c>
      <c r="L45" s="74" t="str">
        <f t="shared" si="3"/>
        <v>Outstanding</v>
      </c>
    </row>
    <row r="46" spans="1:12">
      <c r="A46" s="74" t="s">
        <v>571</v>
      </c>
      <c r="B46" s="82">
        <v>46249</v>
      </c>
      <c r="C46" s="74" t="s">
        <v>70</v>
      </c>
      <c r="D46" s="74" t="s">
        <v>42</v>
      </c>
      <c r="E46" s="74" t="s">
        <v>36</v>
      </c>
      <c r="F46" s="74" t="s">
        <v>11</v>
      </c>
      <c r="G46" s="85">
        <v>102000</v>
      </c>
      <c r="H46" s="82">
        <v>46279</v>
      </c>
      <c r="I46" s="85">
        <v>46277</v>
      </c>
      <c r="J46" s="85">
        <v>102000</v>
      </c>
      <c r="K46" s="10">
        <f t="shared" si="2"/>
        <v>0</v>
      </c>
      <c r="L46" s="74" t="str">
        <f t="shared" si="3"/>
        <v>Paid</v>
      </c>
    </row>
    <row r="47" spans="1:12">
      <c r="A47" s="74" t="s">
        <v>572</v>
      </c>
      <c r="B47" s="82">
        <v>46254</v>
      </c>
      <c r="C47" s="74" t="s">
        <v>72</v>
      </c>
      <c r="D47" s="74" t="s">
        <v>46</v>
      </c>
      <c r="E47" s="74" t="s">
        <v>44</v>
      </c>
      <c r="F47" s="74" t="s">
        <v>14</v>
      </c>
      <c r="G47" s="85">
        <v>150000</v>
      </c>
      <c r="H47" s="82">
        <v>46284</v>
      </c>
      <c r="I47" s="85">
        <v>46283</v>
      </c>
      <c r="J47" s="85">
        <v>150000</v>
      </c>
      <c r="K47" s="10">
        <f t="shared" si="2"/>
        <v>0</v>
      </c>
      <c r="L47" s="74" t="str">
        <f t="shared" si="3"/>
        <v>Paid</v>
      </c>
    </row>
    <row r="48" spans="1:12">
      <c r="A48" s="74" t="s">
        <v>573</v>
      </c>
      <c r="B48" s="82">
        <v>46259</v>
      </c>
      <c r="C48" s="74" t="s">
        <v>74</v>
      </c>
      <c r="D48" s="74" t="s">
        <v>48</v>
      </c>
      <c r="E48" s="74" t="s">
        <v>44</v>
      </c>
      <c r="F48" s="74" t="s">
        <v>14</v>
      </c>
      <c r="G48" s="85">
        <v>95000</v>
      </c>
      <c r="H48" s="82">
        <v>46289</v>
      </c>
      <c r="I48" s="85"/>
      <c r="J48" s="85">
        <v>0</v>
      </c>
      <c r="K48" s="10">
        <f t="shared" si="2"/>
        <v>95000</v>
      </c>
      <c r="L48" s="74" t="str">
        <f t="shared" si="3"/>
        <v>Outstanding</v>
      </c>
    </row>
    <row r="49" spans="1:12">
      <c r="A49" s="74" t="s">
        <v>574</v>
      </c>
      <c r="B49" s="82">
        <v>46262</v>
      </c>
      <c r="C49" s="74" t="s">
        <v>76</v>
      </c>
      <c r="D49" s="74" t="s">
        <v>50</v>
      </c>
      <c r="E49" s="74" t="s">
        <v>44</v>
      </c>
      <c r="F49" s="74" t="s">
        <v>14</v>
      </c>
      <c r="G49" s="85">
        <v>130000</v>
      </c>
      <c r="H49" s="82">
        <v>46292</v>
      </c>
      <c r="I49" s="85">
        <v>46291</v>
      </c>
      <c r="J49" s="85">
        <v>110000</v>
      </c>
      <c r="K49" s="10">
        <f t="shared" si="2"/>
        <v>20000</v>
      </c>
      <c r="L49" s="74" t="str">
        <f t="shared" si="3"/>
        <v>Partial</v>
      </c>
    </row>
    <row r="50" spans="1:12">
      <c r="A50" s="74" t="s">
        <v>575</v>
      </c>
      <c r="B50" s="82">
        <v>46270</v>
      </c>
      <c r="C50" s="74" t="s">
        <v>54</v>
      </c>
      <c r="D50" s="74" t="s">
        <v>22</v>
      </c>
      <c r="E50" s="74" t="s">
        <v>20</v>
      </c>
      <c r="F50" s="74" t="s">
        <v>4</v>
      </c>
      <c r="G50" s="85">
        <v>122000</v>
      </c>
      <c r="H50" s="82">
        <v>46300</v>
      </c>
      <c r="I50" s="85">
        <v>46298</v>
      </c>
      <c r="J50" s="85">
        <v>122000</v>
      </c>
      <c r="K50" s="10">
        <f t="shared" si="2"/>
        <v>0</v>
      </c>
      <c r="L50" s="74" t="str">
        <f t="shared" si="3"/>
        <v>Paid</v>
      </c>
    </row>
    <row r="51" spans="1:12">
      <c r="A51" s="74" t="s">
        <v>576</v>
      </c>
      <c r="B51" s="82">
        <v>46275</v>
      </c>
      <c r="C51" s="74" t="s">
        <v>56</v>
      </c>
      <c r="D51" s="74" t="s">
        <v>24</v>
      </c>
      <c r="E51" s="74" t="s">
        <v>20</v>
      </c>
      <c r="F51" s="74" t="s">
        <v>4</v>
      </c>
      <c r="G51" s="85">
        <v>140000</v>
      </c>
      <c r="H51" s="82">
        <v>46305</v>
      </c>
      <c r="I51" s="85">
        <v>46304</v>
      </c>
      <c r="J51" s="85">
        <v>140000</v>
      </c>
      <c r="K51" s="10">
        <f t="shared" si="2"/>
        <v>0</v>
      </c>
      <c r="L51" s="74" t="str">
        <f t="shared" si="3"/>
        <v>Paid</v>
      </c>
    </row>
    <row r="52" spans="1:12">
      <c r="A52" s="74" t="s">
        <v>577</v>
      </c>
      <c r="B52" s="82">
        <v>46280</v>
      </c>
      <c r="C52" s="74" t="s">
        <v>58</v>
      </c>
      <c r="D52" s="74" t="s">
        <v>26</v>
      </c>
      <c r="E52" s="74" t="s">
        <v>20</v>
      </c>
      <c r="F52" s="74" t="s">
        <v>4</v>
      </c>
      <c r="G52" s="85">
        <v>101000</v>
      </c>
      <c r="H52" s="82">
        <v>46310</v>
      </c>
      <c r="I52" s="85"/>
      <c r="J52" s="85">
        <v>0</v>
      </c>
      <c r="K52" s="10">
        <f t="shared" si="2"/>
        <v>101000</v>
      </c>
      <c r="L52" s="74" t="str">
        <f t="shared" si="3"/>
        <v>Outstanding</v>
      </c>
    </row>
    <row r="53" spans="1:12">
      <c r="A53" s="74" t="s">
        <v>578</v>
      </c>
      <c r="B53" s="82">
        <v>46285</v>
      </c>
      <c r="C53" s="74" t="s">
        <v>60</v>
      </c>
      <c r="D53" s="74" t="s">
        <v>30</v>
      </c>
      <c r="E53" s="74" t="s">
        <v>28</v>
      </c>
      <c r="F53" s="74" t="s">
        <v>8</v>
      </c>
      <c r="G53" s="85">
        <v>132000</v>
      </c>
      <c r="H53" s="82">
        <v>46315</v>
      </c>
      <c r="I53" s="85">
        <v>46314</v>
      </c>
      <c r="J53" s="85">
        <v>100000</v>
      </c>
      <c r="K53" s="10">
        <f t="shared" si="2"/>
        <v>32000</v>
      </c>
      <c r="L53" s="74" t="str">
        <f t="shared" si="3"/>
        <v>Partial</v>
      </c>
    </row>
    <row r="54" spans="1:12">
      <c r="A54" s="74" t="s">
        <v>579</v>
      </c>
      <c r="B54" s="82">
        <v>46290</v>
      </c>
      <c r="C54" s="74" t="s">
        <v>62</v>
      </c>
      <c r="D54" s="74" t="s">
        <v>32</v>
      </c>
      <c r="E54" s="74" t="s">
        <v>28</v>
      </c>
      <c r="F54" s="74" t="s">
        <v>8</v>
      </c>
      <c r="G54" s="85">
        <v>148000</v>
      </c>
      <c r="H54" s="82">
        <v>46320</v>
      </c>
      <c r="I54" s="85">
        <v>46320</v>
      </c>
      <c r="J54" s="85">
        <v>148000</v>
      </c>
      <c r="K54" s="10">
        <f t="shared" si="2"/>
        <v>0</v>
      </c>
      <c r="L54" s="74" t="str">
        <f t="shared" si="3"/>
        <v>Paid</v>
      </c>
    </row>
    <row r="55" spans="1:12">
      <c r="A55" s="74" t="s">
        <v>580</v>
      </c>
      <c r="B55" s="82">
        <v>46293</v>
      </c>
      <c r="C55" s="74" t="s">
        <v>64</v>
      </c>
      <c r="D55" s="74" t="s">
        <v>34</v>
      </c>
      <c r="E55" s="74" t="s">
        <v>28</v>
      </c>
      <c r="F55" s="74" t="s">
        <v>8</v>
      </c>
      <c r="G55" s="85">
        <v>110000</v>
      </c>
      <c r="H55" s="82">
        <v>46323</v>
      </c>
      <c r="I55" s="85">
        <v>46322</v>
      </c>
      <c r="J55" s="85">
        <v>110000</v>
      </c>
      <c r="K55" s="10">
        <f t="shared" si="2"/>
        <v>0</v>
      </c>
      <c r="L55" s="74" t="str">
        <f t="shared" si="3"/>
        <v>Paid</v>
      </c>
    </row>
    <row r="56" spans="1:12">
      <c r="A56" s="74" t="s">
        <v>581</v>
      </c>
      <c r="B56" s="82">
        <v>46300</v>
      </c>
      <c r="C56" s="74" t="s">
        <v>66</v>
      </c>
      <c r="D56" s="74" t="s">
        <v>38</v>
      </c>
      <c r="E56" s="74" t="s">
        <v>36</v>
      </c>
      <c r="F56" s="74" t="s">
        <v>11</v>
      </c>
      <c r="G56" s="85">
        <v>125000</v>
      </c>
      <c r="H56" s="82">
        <v>46330</v>
      </c>
      <c r="I56" s="85">
        <v>46329</v>
      </c>
      <c r="J56" s="85">
        <v>125000</v>
      </c>
      <c r="K56" s="10">
        <f t="shared" si="2"/>
        <v>0</v>
      </c>
      <c r="L56" s="74" t="str">
        <f t="shared" si="3"/>
        <v>Paid</v>
      </c>
    </row>
    <row r="57" spans="1:12">
      <c r="A57" s="74" t="s">
        <v>582</v>
      </c>
      <c r="B57" s="82">
        <v>46305</v>
      </c>
      <c r="C57" s="74" t="s">
        <v>68</v>
      </c>
      <c r="D57" s="74" t="s">
        <v>40</v>
      </c>
      <c r="E57" s="74" t="s">
        <v>36</v>
      </c>
      <c r="F57" s="74" t="s">
        <v>11</v>
      </c>
      <c r="G57" s="85">
        <v>145000</v>
      </c>
      <c r="H57" s="82">
        <v>46335</v>
      </c>
      <c r="I57" s="85"/>
      <c r="J57" s="85">
        <v>0</v>
      </c>
      <c r="K57" s="10">
        <f t="shared" si="2"/>
        <v>145000</v>
      </c>
      <c r="L57" s="74" t="str">
        <f t="shared" si="3"/>
        <v>Outstanding</v>
      </c>
    </row>
    <row r="58" spans="1:12">
      <c r="A58" s="74" t="s">
        <v>583</v>
      </c>
      <c r="B58" s="82">
        <v>46310</v>
      </c>
      <c r="C58" s="74" t="s">
        <v>70</v>
      </c>
      <c r="D58" s="74" t="s">
        <v>42</v>
      </c>
      <c r="E58" s="74" t="s">
        <v>36</v>
      </c>
      <c r="F58" s="74" t="s">
        <v>11</v>
      </c>
      <c r="G58" s="85">
        <v>108000</v>
      </c>
      <c r="H58" s="82">
        <v>46340</v>
      </c>
      <c r="I58" s="85">
        <v>46338</v>
      </c>
      <c r="J58" s="85">
        <v>108000</v>
      </c>
      <c r="K58" s="10">
        <f t="shared" si="2"/>
        <v>0</v>
      </c>
      <c r="L58" s="74" t="str">
        <f t="shared" si="3"/>
        <v>Paid</v>
      </c>
    </row>
    <row r="59" spans="1:12">
      <c r="A59" s="74" t="s">
        <v>584</v>
      </c>
      <c r="B59" s="82">
        <v>46315</v>
      </c>
      <c r="C59" s="74" t="s">
        <v>72</v>
      </c>
      <c r="D59" s="74" t="s">
        <v>46</v>
      </c>
      <c r="E59" s="74" t="s">
        <v>44</v>
      </c>
      <c r="F59" s="74" t="s">
        <v>14</v>
      </c>
      <c r="G59" s="85">
        <v>158000</v>
      </c>
      <c r="H59" s="82">
        <v>46345</v>
      </c>
      <c r="I59" s="85">
        <v>46344</v>
      </c>
      <c r="J59" s="85">
        <v>158000</v>
      </c>
      <c r="K59" s="10">
        <f t="shared" si="2"/>
        <v>0</v>
      </c>
      <c r="L59" s="74" t="str">
        <f t="shared" si="3"/>
        <v>Paid</v>
      </c>
    </row>
    <row r="60" spans="1:12">
      <c r="A60" s="74" t="s">
        <v>585</v>
      </c>
      <c r="B60" s="82">
        <v>46320</v>
      </c>
      <c r="C60" s="74" t="s">
        <v>74</v>
      </c>
      <c r="D60" s="74" t="s">
        <v>48</v>
      </c>
      <c r="E60" s="74" t="s">
        <v>44</v>
      </c>
      <c r="F60" s="74" t="s">
        <v>14</v>
      </c>
      <c r="G60" s="85">
        <v>99000</v>
      </c>
      <c r="H60" s="82">
        <v>46350</v>
      </c>
      <c r="I60" s="85"/>
      <c r="J60" s="85">
        <v>0</v>
      </c>
      <c r="K60" s="10">
        <f t="shared" si="2"/>
        <v>99000</v>
      </c>
      <c r="L60" s="74" t="str">
        <f t="shared" si="3"/>
        <v>Outstanding</v>
      </c>
    </row>
    <row r="61" spans="1:12">
      <c r="A61" s="74" t="s">
        <v>586</v>
      </c>
      <c r="B61" s="82">
        <v>46323</v>
      </c>
      <c r="C61" s="74" t="s">
        <v>76</v>
      </c>
      <c r="D61" s="74" t="s">
        <v>50</v>
      </c>
      <c r="E61" s="74" t="s">
        <v>44</v>
      </c>
      <c r="F61" s="74" t="s">
        <v>14</v>
      </c>
      <c r="G61" s="85">
        <v>138000</v>
      </c>
      <c r="H61" s="82">
        <v>46353</v>
      </c>
      <c r="I61" s="85">
        <v>46352</v>
      </c>
      <c r="J61" s="85">
        <v>115000</v>
      </c>
      <c r="K61" s="10">
        <f t="shared" si="2"/>
        <v>23000</v>
      </c>
      <c r="L61" s="74" t="str">
        <f t="shared" si="3"/>
        <v>Partial</v>
      </c>
    </row>
    <row r="62" spans="1:12">
      <c r="A62" s="74" t="s">
        <v>587</v>
      </c>
      <c r="B62" s="82">
        <v>46331</v>
      </c>
      <c r="C62" s="74" t="s">
        <v>54</v>
      </c>
      <c r="D62" s="74" t="s">
        <v>22</v>
      </c>
      <c r="E62" s="74" t="s">
        <v>20</v>
      </c>
      <c r="F62" s="74" t="s">
        <v>4</v>
      </c>
      <c r="G62" s="85">
        <v>130000</v>
      </c>
      <c r="H62" s="82">
        <v>46361</v>
      </c>
      <c r="I62" s="85">
        <v>46359</v>
      </c>
      <c r="J62" s="85">
        <v>130000</v>
      </c>
      <c r="K62" s="10">
        <f t="shared" si="2"/>
        <v>0</v>
      </c>
      <c r="L62" s="74" t="str">
        <f t="shared" si="3"/>
        <v>Paid</v>
      </c>
    </row>
    <row r="63" spans="1:12">
      <c r="A63" s="74" t="s">
        <v>588</v>
      </c>
      <c r="B63" s="82">
        <v>46336</v>
      </c>
      <c r="C63" s="74" t="s">
        <v>56</v>
      </c>
      <c r="D63" s="74" t="s">
        <v>24</v>
      </c>
      <c r="E63" s="74" t="s">
        <v>20</v>
      </c>
      <c r="F63" s="74" t="s">
        <v>4</v>
      </c>
      <c r="G63" s="85">
        <v>148000</v>
      </c>
      <c r="H63" s="82">
        <v>46366</v>
      </c>
      <c r="I63" s="85">
        <v>46365</v>
      </c>
      <c r="J63" s="85">
        <v>148000</v>
      </c>
      <c r="K63" s="10">
        <f t="shared" si="2"/>
        <v>0</v>
      </c>
      <c r="L63" s="74" t="str">
        <f t="shared" si="3"/>
        <v>Paid</v>
      </c>
    </row>
    <row r="64" spans="1:12">
      <c r="A64" s="74" t="s">
        <v>589</v>
      </c>
      <c r="B64" s="82">
        <v>46341</v>
      </c>
      <c r="C64" s="74" t="s">
        <v>58</v>
      </c>
      <c r="D64" s="74" t="s">
        <v>26</v>
      </c>
      <c r="E64" s="74" t="s">
        <v>20</v>
      </c>
      <c r="F64" s="74" t="s">
        <v>4</v>
      </c>
      <c r="G64" s="85">
        <v>105000</v>
      </c>
      <c r="H64" s="82">
        <v>46371</v>
      </c>
      <c r="I64" s="85"/>
      <c r="J64" s="85">
        <v>0</v>
      </c>
      <c r="K64" s="10">
        <f t="shared" si="2"/>
        <v>105000</v>
      </c>
      <c r="L64" s="74" t="str">
        <f t="shared" si="3"/>
        <v>Outstanding</v>
      </c>
    </row>
    <row r="65" spans="1:12">
      <c r="A65" s="74" t="s">
        <v>590</v>
      </c>
      <c r="B65" s="82">
        <v>46346</v>
      </c>
      <c r="C65" s="74" t="s">
        <v>60</v>
      </c>
      <c r="D65" s="74" t="s">
        <v>30</v>
      </c>
      <c r="E65" s="74" t="s">
        <v>28</v>
      </c>
      <c r="F65" s="74" t="s">
        <v>8</v>
      </c>
      <c r="G65" s="85">
        <v>138000</v>
      </c>
      <c r="H65" s="82">
        <v>46376</v>
      </c>
      <c r="I65" s="85">
        <v>46375</v>
      </c>
      <c r="J65" s="85">
        <v>105000</v>
      </c>
      <c r="K65" s="10">
        <f t="shared" si="2"/>
        <v>33000</v>
      </c>
      <c r="L65" s="74" t="str">
        <f t="shared" si="3"/>
        <v>Partial</v>
      </c>
    </row>
    <row r="66" spans="1:12">
      <c r="A66" s="74" t="s">
        <v>591</v>
      </c>
      <c r="B66" s="82">
        <v>46351</v>
      </c>
      <c r="C66" s="74" t="s">
        <v>62</v>
      </c>
      <c r="D66" s="74" t="s">
        <v>32</v>
      </c>
      <c r="E66" s="74" t="s">
        <v>28</v>
      </c>
      <c r="F66" s="74" t="s">
        <v>8</v>
      </c>
      <c r="G66" s="85">
        <v>155000</v>
      </c>
      <c r="H66" s="82">
        <v>46381</v>
      </c>
      <c r="I66" s="85">
        <v>46381</v>
      </c>
      <c r="J66" s="85">
        <v>155000</v>
      </c>
      <c r="K66" s="10">
        <f t="shared" ref="K66:K73" si="4">G66-J66</f>
        <v>0</v>
      </c>
      <c r="L66" s="74" t="str">
        <f t="shared" ref="L66:L73" si="5">IF(K66=0,"Paid",IF(J66=0,"Outstanding","Partial"))</f>
        <v>Paid</v>
      </c>
    </row>
    <row r="67" spans="1:12">
      <c r="A67" s="74" t="s">
        <v>592</v>
      </c>
      <c r="B67" s="82">
        <v>46354</v>
      </c>
      <c r="C67" s="74" t="s">
        <v>64</v>
      </c>
      <c r="D67" s="74" t="s">
        <v>34</v>
      </c>
      <c r="E67" s="74" t="s">
        <v>28</v>
      </c>
      <c r="F67" s="74" t="s">
        <v>8</v>
      </c>
      <c r="G67" s="85">
        <v>115000</v>
      </c>
      <c r="H67" s="82">
        <v>46384</v>
      </c>
      <c r="I67" s="85">
        <v>46383</v>
      </c>
      <c r="J67" s="85">
        <v>115000</v>
      </c>
      <c r="K67" s="10">
        <f t="shared" si="4"/>
        <v>0</v>
      </c>
      <c r="L67" s="74" t="str">
        <f t="shared" si="5"/>
        <v>Paid</v>
      </c>
    </row>
    <row r="68" spans="1:12">
      <c r="A68" s="74" t="s">
        <v>593</v>
      </c>
      <c r="B68" s="82">
        <v>46361</v>
      </c>
      <c r="C68" s="74" t="s">
        <v>66</v>
      </c>
      <c r="D68" s="74" t="s">
        <v>38</v>
      </c>
      <c r="E68" s="74" t="s">
        <v>36</v>
      </c>
      <c r="F68" s="74" t="s">
        <v>11</v>
      </c>
      <c r="G68" s="85">
        <v>132000</v>
      </c>
      <c r="H68" s="82">
        <v>46391</v>
      </c>
      <c r="I68" s="85"/>
      <c r="J68" s="85">
        <v>0</v>
      </c>
      <c r="K68" s="10">
        <f t="shared" si="4"/>
        <v>132000</v>
      </c>
      <c r="L68" s="74" t="str">
        <f t="shared" si="5"/>
        <v>Outstanding</v>
      </c>
    </row>
    <row r="69" spans="1:12">
      <c r="A69" s="74" t="s">
        <v>594</v>
      </c>
      <c r="B69" s="82">
        <v>46366</v>
      </c>
      <c r="C69" s="74" t="s">
        <v>68</v>
      </c>
      <c r="D69" s="74" t="s">
        <v>40</v>
      </c>
      <c r="E69" s="74" t="s">
        <v>36</v>
      </c>
      <c r="F69" s="74" t="s">
        <v>11</v>
      </c>
      <c r="G69" s="85">
        <v>152000</v>
      </c>
      <c r="H69" s="82">
        <v>46396</v>
      </c>
      <c r="I69" s="85"/>
      <c r="J69" s="85">
        <v>0</v>
      </c>
      <c r="K69" s="10">
        <f t="shared" si="4"/>
        <v>152000</v>
      </c>
      <c r="L69" s="74" t="str">
        <f t="shared" si="5"/>
        <v>Outstanding</v>
      </c>
    </row>
    <row r="70" spans="1:12">
      <c r="A70" s="74" t="s">
        <v>595</v>
      </c>
      <c r="B70" s="82">
        <v>46371</v>
      </c>
      <c r="C70" s="74" t="s">
        <v>70</v>
      </c>
      <c r="D70" s="74" t="s">
        <v>42</v>
      </c>
      <c r="E70" s="74" t="s">
        <v>36</v>
      </c>
      <c r="F70" s="74" t="s">
        <v>11</v>
      </c>
      <c r="G70" s="85">
        <v>112000</v>
      </c>
      <c r="H70" s="82">
        <v>46401</v>
      </c>
      <c r="I70" s="85"/>
      <c r="J70" s="85">
        <v>0</v>
      </c>
      <c r="K70" s="10">
        <f t="shared" si="4"/>
        <v>112000</v>
      </c>
      <c r="L70" s="74" t="str">
        <f t="shared" si="5"/>
        <v>Outstanding</v>
      </c>
    </row>
    <row r="71" spans="1:12">
      <c r="A71" s="74" t="s">
        <v>596</v>
      </c>
      <c r="B71" s="82">
        <v>46376</v>
      </c>
      <c r="C71" s="74" t="s">
        <v>72</v>
      </c>
      <c r="D71" s="74" t="s">
        <v>46</v>
      </c>
      <c r="E71" s="74" t="s">
        <v>44</v>
      </c>
      <c r="F71" s="74" t="s">
        <v>14</v>
      </c>
      <c r="G71" s="85">
        <v>165000</v>
      </c>
      <c r="H71" s="82">
        <v>46406</v>
      </c>
      <c r="I71" s="85"/>
      <c r="J71" s="85">
        <v>0</v>
      </c>
      <c r="K71" s="10">
        <f t="shared" si="4"/>
        <v>165000</v>
      </c>
      <c r="L71" s="74" t="str">
        <f t="shared" si="5"/>
        <v>Outstanding</v>
      </c>
    </row>
    <row r="72" spans="1:12">
      <c r="A72" s="74" t="s">
        <v>597</v>
      </c>
      <c r="B72" s="82">
        <v>46381</v>
      </c>
      <c r="C72" s="74" t="s">
        <v>74</v>
      </c>
      <c r="D72" s="74" t="s">
        <v>48</v>
      </c>
      <c r="E72" s="74" t="s">
        <v>44</v>
      </c>
      <c r="F72" s="74" t="s">
        <v>14</v>
      </c>
      <c r="G72" s="85">
        <v>102000</v>
      </c>
      <c r="H72" s="82">
        <v>46411</v>
      </c>
      <c r="I72" s="85"/>
      <c r="J72" s="85">
        <v>0</v>
      </c>
      <c r="K72" s="10">
        <f t="shared" si="4"/>
        <v>102000</v>
      </c>
      <c r="L72" s="74" t="str">
        <f t="shared" si="5"/>
        <v>Outstanding</v>
      </c>
    </row>
    <row r="73" spans="1:12">
      <c r="A73" s="74" t="s">
        <v>598</v>
      </c>
      <c r="B73" s="82">
        <v>46384</v>
      </c>
      <c r="C73" s="74" t="s">
        <v>76</v>
      </c>
      <c r="D73" s="74" t="s">
        <v>50</v>
      </c>
      <c r="E73" s="74" t="s">
        <v>44</v>
      </c>
      <c r="F73" s="74" t="s">
        <v>14</v>
      </c>
      <c r="G73" s="85">
        <v>145000</v>
      </c>
      <c r="H73" s="82">
        <v>46414</v>
      </c>
      <c r="I73" s="85"/>
      <c r="J73" s="85">
        <v>0</v>
      </c>
      <c r="K73" s="10">
        <f t="shared" si="4"/>
        <v>145000</v>
      </c>
      <c r="L73" s="74" t="str">
        <f t="shared" si="5"/>
        <v>Outstanding</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267A-E50A-4292-AECC-4FAC184A8C98}">
  <dimension ref="A1:J301"/>
  <sheetViews>
    <sheetView workbookViewId="0"/>
  </sheetViews>
  <sheetFormatPr defaultRowHeight="15"/>
  <cols>
    <col min="1" max="1" width="13.28515625" bestFit="1" customWidth="1"/>
    <col min="2" max="2" width="12.28515625" bestFit="1" customWidth="1"/>
    <col min="3" max="3" width="16.42578125" bestFit="1" customWidth="1"/>
    <col min="4" max="4" width="9.5703125" bestFit="1" customWidth="1"/>
    <col min="5" max="5" width="9" bestFit="1" customWidth="1"/>
    <col min="6" max="6" width="16.5703125" bestFit="1" customWidth="1"/>
    <col min="7" max="7" width="13.85546875" bestFit="1" customWidth="1"/>
    <col min="8" max="8" width="18.140625" bestFit="1" customWidth="1"/>
    <col min="9" max="9" width="17.28515625" bestFit="1" customWidth="1"/>
    <col min="10" max="10" width="20.85546875" bestFit="1" customWidth="1"/>
  </cols>
  <sheetData>
    <row r="1" spans="1:10">
      <c r="A1" t="s">
        <v>207</v>
      </c>
      <c r="B1" t="s">
        <v>197</v>
      </c>
      <c r="C1" t="s">
        <v>18</v>
      </c>
      <c r="D1" t="s">
        <v>16</v>
      </c>
      <c r="E1" t="s">
        <v>0</v>
      </c>
      <c r="F1" t="s">
        <v>206</v>
      </c>
      <c r="G1" t="s">
        <v>599</v>
      </c>
      <c r="H1" t="s">
        <v>716</v>
      </c>
      <c r="I1" t="s">
        <v>600</v>
      </c>
      <c r="J1" t="s">
        <v>601</v>
      </c>
    </row>
    <row r="2" spans="1:10">
      <c r="A2" s="8">
        <f>DATE(2026,B2,1)</f>
        <v>46023</v>
      </c>
      <c r="B2" s="76">
        <f>ROUNDUP(ROWS($B$2:B2)/12,0)</f>
        <v>1</v>
      </c>
      <c r="C2" s="74" t="str">
        <f>"SP"&amp;TEXT(MOD(ROWS($C$2:C2)-1,12)+1,"000")</f>
        <v>SP001</v>
      </c>
      <c r="D2" s="70" t="s">
        <v>20</v>
      </c>
      <c r="E2" s="70" t="s">
        <v>4</v>
      </c>
      <c r="F2" s="86">
        <f>SUMIFS(tblSalesTargets[Target Amount],tblSalesTargets[MonthYear],A2,tblSalesTargets[Salesperson ID],C2)</f>
        <v>2500000</v>
      </c>
      <c r="G2" s="85">
        <f>SUMIFS(tblSalesTransactions[Sales Amount],tblSalesTransactions[Salesperson ID],C2,tblSalesTransactions[Date],"&gt;="&amp;DATE(YEAR(A2),MONTH(A2),1),tblSalesTransactions[Date],"&lt;"&amp;EDATE(A2,1))</f>
        <v>350500</v>
      </c>
      <c r="H2" s="85">
        <f t="shared" ref="H2:H65" si="0">G2-F2</f>
        <v>-2149500</v>
      </c>
      <c r="I2" s="87">
        <f t="shared" ref="I2:I65" si="1">IFERROR(G2/F2,0)</f>
        <v>0.14019999999999999</v>
      </c>
      <c r="J2" s="74" t="str">
        <f>IF(I2&gt;='02_Control_Panel'!$B$8,"Achieved",IF(I2&gt;='02_Control_Panel'!$B$7,"Near Target","Below Target"))</f>
        <v>Below Target</v>
      </c>
    </row>
    <row r="3" spans="1:10">
      <c r="A3" s="8">
        <f>DATE(2026,B3,1)</f>
        <v>46023</v>
      </c>
      <c r="B3" s="76">
        <f>ROUNDUP(ROWS($B$2:B3)/12,0)</f>
        <v>1</v>
      </c>
      <c r="C3" s="74" t="str">
        <f>"SP"&amp;TEXT(MOD(ROWS($C$2:C3)-1,12)+1,"000")</f>
        <v>SP002</v>
      </c>
      <c r="D3" s="70" t="s">
        <v>20</v>
      </c>
      <c r="E3" s="70" t="s">
        <v>4</v>
      </c>
      <c r="F3" s="86">
        <f>SUMIFS(tblSalesTargets[Target Amount],tblSalesTargets[MonthYear],A3,tblSalesTargets[Salesperson ID],C3)</f>
        <v>2300000</v>
      </c>
      <c r="G3" s="85">
        <f>SUMIFS(tblSalesTransactions[Sales Amount],tblSalesTransactions[Salesperson ID],C3,tblSalesTransactions[Date],"&gt;="&amp;DATE(YEAR(A3),MONTH(A3),1),tblSalesTransactions[Date],"&lt;"&amp;EDATE(A3,1))</f>
        <v>375000</v>
      </c>
      <c r="H3" s="85">
        <f t="shared" si="0"/>
        <v>-1925000</v>
      </c>
      <c r="I3" s="87">
        <f t="shared" si="1"/>
        <v>0.16304347826086957</v>
      </c>
      <c r="J3" s="74" t="str">
        <f>IF(I3&gt;='02_Control_Panel'!$B$8,"Achieved",IF(I3&gt;='02_Control_Panel'!$B$7,"Near Target","Below Target"))</f>
        <v>Below Target</v>
      </c>
    </row>
    <row r="4" spans="1:10">
      <c r="A4" s="8">
        <f>DATE(2026,B4,1)</f>
        <v>46023</v>
      </c>
      <c r="B4" s="76">
        <f>ROUNDUP(ROWS($B$2:B4)/12,0)</f>
        <v>1</v>
      </c>
      <c r="C4" s="74" t="str">
        <f>"SP"&amp;TEXT(MOD(ROWS($C$2:C4)-1,12)+1,"000")</f>
        <v>SP003</v>
      </c>
      <c r="D4" s="70" t="s">
        <v>20</v>
      </c>
      <c r="E4" s="70" t="s">
        <v>4</v>
      </c>
      <c r="F4" s="86">
        <f>SUMIFS(tblSalesTargets[Target Amount],tblSalesTargets[MonthYear],A4,tblSalesTargets[Salesperson ID],C4)</f>
        <v>2200000</v>
      </c>
      <c r="G4" s="85">
        <f>SUMIFS(tblSalesTransactions[Sales Amount],tblSalesTransactions[Salesperson ID],C4,tblSalesTransactions[Date],"&gt;="&amp;DATE(YEAR(A4),MONTH(A4),1),tblSalesTransactions[Date],"&lt;"&amp;EDATE(A4,1))</f>
        <v>371750</v>
      </c>
      <c r="H4" s="85">
        <f t="shared" si="0"/>
        <v>-1828250</v>
      </c>
      <c r="I4" s="87">
        <f t="shared" si="1"/>
        <v>0.16897727272727273</v>
      </c>
      <c r="J4" s="74" t="str">
        <f>IF(I4&gt;='02_Control_Panel'!$B$8,"Achieved",IF(I4&gt;='02_Control_Panel'!$B$7,"Near Target","Below Target"))</f>
        <v>Below Target</v>
      </c>
    </row>
    <row r="5" spans="1:10">
      <c r="A5" s="8">
        <f t="shared" ref="A5:A68" si="2">DATE(2026,B5,1)</f>
        <v>46023</v>
      </c>
      <c r="B5" s="76">
        <f>ROUNDUP(ROWS($B$2:B5)/12,0)</f>
        <v>1</v>
      </c>
      <c r="C5" s="74" t="str">
        <f>"SP"&amp;TEXT(MOD(ROWS($C$2:C5)-1,12)+1,"000")</f>
        <v>SP004</v>
      </c>
      <c r="D5" s="70" t="s">
        <v>28</v>
      </c>
      <c r="E5" s="70" t="s">
        <v>8</v>
      </c>
      <c r="F5" s="86">
        <f>SUMIFS(tblSalesTargets[Target Amount],tblSalesTargets[MonthYear],A5,tblSalesTargets[Salesperson ID],C5)</f>
        <v>2700000</v>
      </c>
      <c r="G5" s="85">
        <f>SUMIFS(tblSalesTransactions[Sales Amount],tblSalesTransactions[Salesperson ID],C5,tblSalesTransactions[Date],"&gt;="&amp;DATE(YEAR(A5),MONTH(A5),1),tblSalesTransactions[Date],"&lt;"&amp;EDATE(A5,1))</f>
        <v>648000</v>
      </c>
      <c r="H5" s="85">
        <f t="shared" si="0"/>
        <v>-2052000</v>
      </c>
      <c r="I5" s="87">
        <f t="shared" si="1"/>
        <v>0.24</v>
      </c>
      <c r="J5" s="74" t="str">
        <f>IF(I5&gt;='02_Control_Panel'!$B$8,"Achieved",IF(I5&gt;='02_Control_Panel'!$B$7,"Near Target","Below Target"))</f>
        <v>Below Target</v>
      </c>
    </row>
    <row r="6" spans="1:10">
      <c r="A6" s="8">
        <f t="shared" si="2"/>
        <v>46023</v>
      </c>
      <c r="B6" s="76">
        <f>ROUNDUP(ROWS($B$2:B6)/12,0)</f>
        <v>1</v>
      </c>
      <c r="C6" s="74" t="str">
        <f>"SP"&amp;TEXT(MOD(ROWS($C$2:C6)-1,12)+1,"000")</f>
        <v>SP005</v>
      </c>
      <c r="D6" s="74" t="s">
        <v>28</v>
      </c>
      <c r="E6" s="74" t="s">
        <v>8</v>
      </c>
      <c r="F6" s="86">
        <f>SUMIFS(tblSalesTargets[Target Amount],tblSalesTargets[MonthYear],A6,tblSalesTargets[Salesperson ID],C6)</f>
        <v>2500000</v>
      </c>
      <c r="G6" s="85">
        <f>SUMIFS(tblSalesTransactions[Sales Amount],tblSalesTransactions[Salesperson ID],C6,tblSalesTransactions[Date],"&gt;="&amp;DATE(YEAR(A6),MONTH(A6),1),tblSalesTransactions[Date],"&lt;"&amp;EDATE(A6,1))</f>
        <v>626000</v>
      </c>
      <c r="H6" s="85">
        <f t="shared" si="0"/>
        <v>-1874000</v>
      </c>
      <c r="I6" s="87">
        <f t="shared" si="1"/>
        <v>0.25040000000000001</v>
      </c>
      <c r="J6" s="74" t="str">
        <f>IF(I6&gt;='02_Control_Panel'!$B$8,"Achieved",IF(I6&gt;='02_Control_Panel'!$B$7,"Near Target","Below Target"))</f>
        <v>Below Target</v>
      </c>
    </row>
    <row r="7" spans="1:10">
      <c r="A7" s="8">
        <f t="shared" si="2"/>
        <v>46023</v>
      </c>
      <c r="B7" s="76">
        <f>ROUNDUP(ROWS($B$2:B7)/12,0)</f>
        <v>1</v>
      </c>
      <c r="C7" s="74" t="str">
        <f>"SP"&amp;TEXT(MOD(ROWS($C$2:C7)-1,12)+1,"000")</f>
        <v>SP006</v>
      </c>
      <c r="D7" s="74" t="s">
        <v>28</v>
      </c>
      <c r="E7" s="74" t="s">
        <v>8</v>
      </c>
      <c r="F7" s="86">
        <f>SUMIFS(tblSalesTargets[Target Amount],tblSalesTargets[MonthYear],A7,tblSalesTargets[Salesperson ID],C7)</f>
        <v>2300000</v>
      </c>
      <c r="G7" s="85">
        <f>SUMIFS(tblSalesTransactions[Sales Amount],tblSalesTransactions[Salesperson ID],C7,tblSalesTransactions[Date],"&gt;="&amp;DATE(YEAR(A7),MONTH(A7),1),tblSalesTransactions[Date],"&lt;"&amp;EDATE(A7,1))</f>
        <v>464500</v>
      </c>
      <c r="H7" s="85">
        <f t="shared" si="0"/>
        <v>-1835500</v>
      </c>
      <c r="I7" s="87">
        <f t="shared" si="1"/>
        <v>0.20195652173913042</v>
      </c>
      <c r="J7" s="74" t="str">
        <f>IF(I7&gt;='02_Control_Panel'!$B$8,"Achieved",IF(I7&gt;='02_Control_Panel'!$B$7,"Near Target","Below Target"))</f>
        <v>Below Target</v>
      </c>
    </row>
    <row r="8" spans="1:10">
      <c r="A8" s="8">
        <f t="shared" si="2"/>
        <v>46023</v>
      </c>
      <c r="B8" s="76">
        <f>ROUNDUP(ROWS($B$2:B8)/12,0)</f>
        <v>1</v>
      </c>
      <c r="C8" s="74" t="str">
        <f>"SP"&amp;TEXT(MOD(ROWS($C$2:C8)-1,12)+1,"000")</f>
        <v>SP007</v>
      </c>
      <c r="D8" s="74" t="s">
        <v>36</v>
      </c>
      <c r="E8" s="74" t="s">
        <v>11</v>
      </c>
      <c r="F8" s="86">
        <f>SUMIFS(tblSalesTargets[Target Amount],tblSalesTargets[MonthYear],A8,tblSalesTargets[Salesperson ID],C8)</f>
        <v>2400000</v>
      </c>
      <c r="G8" s="85">
        <f>SUMIFS(tblSalesTransactions[Sales Amount],tblSalesTransactions[Salesperson ID],C8,tblSalesTransactions[Date],"&gt;="&amp;DATE(YEAR(A8),MONTH(A8),1),tblSalesTransactions[Date],"&lt;"&amp;EDATE(A8,1))</f>
        <v>638000</v>
      </c>
      <c r="H8" s="85">
        <f t="shared" si="0"/>
        <v>-1762000</v>
      </c>
      <c r="I8" s="87">
        <f t="shared" si="1"/>
        <v>0.26583333333333331</v>
      </c>
      <c r="J8" s="74" t="str">
        <f>IF(I8&gt;='02_Control_Panel'!$B$8,"Achieved",IF(I8&gt;='02_Control_Panel'!$B$7,"Near Target","Below Target"))</f>
        <v>Below Target</v>
      </c>
    </row>
    <row r="9" spans="1:10">
      <c r="A9" s="8">
        <f t="shared" si="2"/>
        <v>46023</v>
      </c>
      <c r="B9" s="76">
        <f>ROUNDUP(ROWS($B$2:B9)/12,0)</f>
        <v>1</v>
      </c>
      <c r="C9" s="74" t="str">
        <f>"SP"&amp;TEXT(MOD(ROWS($C$2:C9)-1,12)+1,"000")</f>
        <v>SP008</v>
      </c>
      <c r="D9" s="74" t="s">
        <v>36</v>
      </c>
      <c r="E9" s="74" t="s">
        <v>11</v>
      </c>
      <c r="F9" s="86">
        <f>SUMIFS(tblSalesTargets[Target Amount],tblSalesTargets[MonthYear],A9,tblSalesTargets[Salesperson ID],C9)</f>
        <v>2200000</v>
      </c>
      <c r="G9" s="85">
        <f>SUMIFS(tblSalesTransactions[Sales Amount],tblSalesTransactions[Salesperson ID],C9,tblSalesTransactions[Date],"&gt;="&amp;DATE(YEAR(A9),MONTH(A9),1),tblSalesTransactions[Date],"&lt;"&amp;EDATE(A9,1))</f>
        <v>591000</v>
      </c>
      <c r="H9" s="85">
        <f t="shared" si="0"/>
        <v>-1609000</v>
      </c>
      <c r="I9" s="87">
        <f t="shared" si="1"/>
        <v>0.26863636363636362</v>
      </c>
      <c r="J9" s="74" t="str">
        <f>IF(I9&gt;='02_Control_Panel'!$B$8,"Achieved",IF(I9&gt;='02_Control_Panel'!$B$7,"Near Target","Below Target"))</f>
        <v>Below Target</v>
      </c>
    </row>
    <row r="10" spans="1:10">
      <c r="A10" s="8">
        <f t="shared" si="2"/>
        <v>46023</v>
      </c>
      <c r="B10" s="76">
        <f>ROUNDUP(ROWS($B$2:B10)/12,0)</f>
        <v>1</v>
      </c>
      <c r="C10" s="74" t="str">
        <f>"SP"&amp;TEXT(MOD(ROWS($C$2:C10)-1,12)+1,"000")</f>
        <v>SP009</v>
      </c>
      <c r="D10" s="74" t="s">
        <v>36</v>
      </c>
      <c r="E10" s="74" t="s">
        <v>11</v>
      </c>
      <c r="F10" s="86">
        <f>SUMIFS(tblSalesTargets[Target Amount],tblSalesTargets[MonthYear],A10,tblSalesTargets[Salesperson ID],C10)</f>
        <v>2100000</v>
      </c>
      <c r="G10" s="85">
        <f>SUMIFS(tblSalesTransactions[Sales Amount],tblSalesTransactions[Salesperson ID],C10,tblSalesTransactions[Date],"&gt;="&amp;DATE(YEAR(A10),MONTH(A10),1),tblSalesTransactions[Date],"&lt;"&amp;EDATE(A10,1))</f>
        <v>456000</v>
      </c>
      <c r="H10" s="85">
        <f t="shared" si="0"/>
        <v>-1644000</v>
      </c>
      <c r="I10" s="87">
        <f t="shared" si="1"/>
        <v>0.21714285714285714</v>
      </c>
      <c r="J10" s="74" t="str">
        <f>IF(I10&gt;='02_Control_Panel'!$B$8,"Achieved",IF(I10&gt;='02_Control_Panel'!$B$7,"Near Target","Below Target"))</f>
        <v>Below Target</v>
      </c>
    </row>
    <row r="11" spans="1:10">
      <c r="A11" s="8">
        <f t="shared" si="2"/>
        <v>46023</v>
      </c>
      <c r="B11" s="76">
        <f>ROUNDUP(ROWS($B$2:B11)/12,0)</f>
        <v>1</v>
      </c>
      <c r="C11" s="74" t="str">
        <f>"SP"&amp;TEXT(MOD(ROWS($C$2:C11)-1,12)+1,"000")</f>
        <v>SP010</v>
      </c>
      <c r="D11" s="74" t="s">
        <v>44</v>
      </c>
      <c r="E11" s="74" t="s">
        <v>14</v>
      </c>
      <c r="F11" s="86">
        <f>SUMIFS(tblSalesTargets[Target Amount],tblSalesTargets[MonthYear],A11,tblSalesTargets[Salesperson ID],C11)</f>
        <v>2200000</v>
      </c>
      <c r="G11" s="85">
        <f>SUMIFS(tblSalesTransactions[Sales Amount],tblSalesTransactions[Salesperson ID],C11,tblSalesTransactions[Date],"&gt;="&amp;DATE(YEAR(A11),MONTH(A11),1),tblSalesTransactions[Date],"&lt;"&amp;EDATE(A11,1))</f>
        <v>379500</v>
      </c>
      <c r="H11" s="85">
        <f t="shared" si="0"/>
        <v>-1820500</v>
      </c>
      <c r="I11" s="87">
        <f t="shared" si="1"/>
        <v>0.17249999999999999</v>
      </c>
      <c r="J11" s="74" t="str">
        <f>IF(I11&gt;='02_Control_Panel'!$B$8,"Achieved",IF(I11&gt;='02_Control_Panel'!$B$7,"Near Target","Below Target"))</f>
        <v>Below Target</v>
      </c>
    </row>
    <row r="12" spans="1:10">
      <c r="A12" s="8">
        <f t="shared" si="2"/>
        <v>46023</v>
      </c>
      <c r="B12" s="76">
        <f>ROUNDUP(ROWS($B$2:B12)/12,0)</f>
        <v>1</v>
      </c>
      <c r="C12" s="74" t="str">
        <f>"SP"&amp;TEXT(MOD(ROWS($C$2:C12)-1,12)+1,"000")</f>
        <v>SP011</v>
      </c>
      <c r="D12" s="74" t="s">
        <v>44</v>
      </c>
      <c r="E12" s="74" t="s">
        <v>14</v>
      </c>
      <c r="F12" s="86">
        <f>SUMIFS(tblSalesTargets[Target Amount],tblSalesTargets[MonthYear],A12,tblSalesTargets[Salesperson ID],C12)</f>
        <v>2000000</v>
      </c>
      <c r="G12" s="85">
        <f>SUMIFS(tblSalesTransactions[Sales Amount],tblSalesTransactions[Salesperson ID],C12,tblSalesTransactions[Date],"&gt;="&amp;DATE(YEAR(A12),MONTH(A12),1),tblSalesTransactions[Date],"&lt;"&amp;EDATE(A12,1))</f>
        <v>387000</v>
      </c>
      <c r="H12" s="85">
        <f t="shared" si="0"/>
        <v>-1613000</v>
      </c>
      <c r="I12" s="87">
        <f t="shared" si="1"/>
        <v>0.19350000000000001</v>
      </c>
      <c r="J12" s="74" t="str">
        <f>IF(I12&gt;='02_Control_Panel'!$B$8,"Achieved",IF(I12&gt;='02_Control_Panel'!$B$7,"Near Target","Below Target"))</f>
        <v>Below Target</v>
      </c>
    </row>
    <row r="13" spans="1:10">
      <c r="A13" s="8">
        <f t="shared" si="2"/>
        <v>46023</v>
      </c>
      <c r="B13" s="76">
        <f>ROUNDUP(ROWS($B$2:B13)/12,0)</f>
        <v>1</v>
      </c>
      <c r="C13" s="74" t="str">
        <f>"SP"&amp;TEXT(MOD(ROWS($C$2:C13)-1,12)+1,"000")</f>
        <v>SP012</v>
      </c>
      <c r="D13" s="74" t="s">
        <v>44</v>
      </c>
      <c r="E13" s="74" t="s">
        <v>14</v>
      </c>
      <c r="F13" s="86">
        <f>SUMIFS(tblSalesTargets[Target Amount],tblSalesTargets[MonthYear],A13,tblSalesTargets[Salesperson ID],C13)</f>
        <v>1900000</v>
      </c>
      <c r="G13" s="85">
        <f>SUMIFS(tblSalesTransactions[Sales Amount],tblSalesTransactions[Salesperson ID],C13,tblSalesTransactions[Date],"&gt;="&amp;DATE(YEAR(A13),MONTH(A13),1),tblSalesTransactions[Date],"&lt;"&amp;EDATE(A13,1))</f>
        <v>404000</v>
      </c>
      <c r="H13" s="85">
        <f t="shared" si="0"/>
        <v>-1496000</v>
      </c>
      <c r="I13" s="87">
        <f t="shared" si="1"/>
        <v>0.21263157894736842</v>
      </c>
      <c r="J13" s="74" t="str">
        <f>IF(I13&gt;='02_Control_Panel'!$B$8,"Achieved",IF(I13&gt;='02_Control_Panel'!$B$7,"Near Target","Below Target"))</f>
        <v>Below Target</v>
      </c>
    </row>
    <row r="14" spans="1:10">
      <c r="A14" s="8">
        <f t="shared" si="2"/>
        <v>46054</v>
      </c>
      <c r="B14" s="76">
        <f>ROUNDUP(ROWS($B$2:B14)/12,0)</f>
        <v>2</v>
      </c>
      <c r="C14" s="74" t="str">
        <f>"SP"&amp;TEXT(MOD(ROWS($C$2:C14)-1,12)+1,"000")</f>
        <v>SP001</v>
      </c>
      <c r="D14" s="74" t="s">
        <v>20</v>
      </c>
      <c r="E14" s="74" t="s">
        <v>4</v>
      </c>
      <c r="F14" s="86">
        <f>SUMIFS(tblSalesTargets[Target Amount],tblSalesTargets[MonthYear],A14,tblSalesTargets[Salesperson ID],C14)</f>
        <v>2575000</v>
      </c>
      <c r="G14" s="85">
        <f>SUMIFS(tblSalesTransactions[Sales Amount],tblSalesTransactions[Salesperson ID],C14,tblSalesTransactions[Date],"&gt;="&amp;DATE(YEAR(A14),MONTH(A14),1),tblSalesTransactions[Date],"&lt;"&amp;EDATE(A14,1))</f>
        <v>236500</v>
      </c>
      <c r="H14" s="85">
        <f t="shared" si="0"/>
        <v>-2338500</v>
      </c>
      <c r="I14" s="87">
        <f t="shared" si="1"/>
        <v>9.1844660194174754E-2</v>
      </c>
      <c r="J14" s="74" t="str">
        <f>IF(I14&gt;='02_Control_Panel'!$B$8,"Achieved",IF(I14&gt;='02_Control_Panel'!$B$7,"Near Target","Below Target"))</f>
        <v>Below Target</v>
      </c>
    </row>
    <row r="15" spans="1:10">
      <c r="A15" s="8">
        <f t="shared" si="2"/>
        <v>46054</v>
      </c>
      <c r="B15" s="76">
        <f>ROUNDUP(ROWS($B$2:B15)/12,0)</f>
        <v>2</v>
      </c>
      <c r="C15" s="74" t="str">
        <f>"SP"&amp;TEXT(MOD(ROWS($C$2:C15)-1,12)+1,"000")</f>
        <v>SP002</v>
      </c>
      <c r="D15" s="74" t="s">
        <v>20</v>
      </c>
      <c r="E15" s="74" t="s">
        <v>4</v>
      </c>
      <c r="F15" s="86">
        <f>SUMIFS(tblSalesTargets[Target Amount],tblSalesTargets[MonthYear],A15,tblSalesTargets[Salesperson ID],C15)</f>
        <v>2369000</v>
      </c>
      <c r="G15" s="85">
        <f>SUMIFS(tblSalesTransactions[Sales Amount],tblSalesTransactions[Salesperson ID],C15,tblSalesTransactions[Date],"&gt;="&amp;DATE(YEAR(A15),MONTH(A15),1),tblSalesTransactions[Date],"&lt;"&amp;EDATE(A15,1))</f>
        <v>303500</v>
      </c>
      <c r="H15" s="85">
        <f t="shared" si="0"/>
        <v>-2065500</v>
      </c>
      <c r="I15" s="87">
        <f t="shared" si="1"/>
        <v>0.12811312790206839</v>
      </c>
      <c r="J15" s="74" t="str">
        <f>IF(I15&gt;='02_Control_Panel'!$B$8,"Achieved",IF(I15&gt;='02_Control_Panel'!$B$7,"Near Target","Below Target"))</f>
        <v>Below Target</v>
      </c>
    </row>
    <row r="16" spans="1:10">
      <c r="A16" s="8">
        <f t="shared" si="2"/>
        <v>46054</v>
      </c>
      <c r="B16" s="76">
        <f>ROUNDUP(ROWS($B$2:B16)/12,0)</f>
        <v>2</v>
      </c>
      <c r="C16" s="74" t="str">
        <f>"SP"&amp;TEXT(MOD(ROWS($C$2:C16)-1,12)+1,"000")</f>
        <v>SP003</v>
      </c>
      <c r="D16" s="74" t="s">
        <v>20</v>
      </c>
      <c r="E16" s="74" t="s">
        <v>4</v>
      </c>
      <c r="F16" s="86">
        <f>SUMIFS(tblSalesTargets[Target Amount],tblSalesTargets[MonthYear],A16,tblSalesTargets[Salesperson ID],C16)</f>
        <v>2266000</v>
      </c>
      <c r="G16" s="85">
        <f>SUMIFS(tblSalesTransactions[Sales Amount],tblSalesTransactions[Salesperson ID],C16,tblSalesTransactions[Date],"&gt;="&amp;DATE(YEAR(A16),MONTH(A16),1),tblSalesTransactions[Date],"&lt;"&amp;EDATE(A16,1))</f>
        <v>287250</v>
      </c>
      <c r="H16" s="85">
        <f t="shared" si="0"/>
        <v>-1978750</v>
      </c>
      <c r="I16" s="87">
        <f t="shared" si="1"/>
        <v>0.12676522506619595</v>
      </c>
      <c r="J16" s="74" t="str">
        <f>IF(I16&gt;='02_Control_Panel'!$B$8,"Achieved",IF(I16&gt;='02_Control_Panel'!$B$7,"Near Target","Below Target"))</f>
        <v>Below Target</v>
      </c>
    </row>
    <row r="17" spans="1:10">
      <c r="A17" s="8">
        <f t="shared" si="2"/>
        <v>46054</v>
      </c>
      <c r="B17" s="76">
        <f>ROUNDUP(ROWS($B$2:B17)/12,0)</f>
        <v>2</v>
      </c>
      <c r="C17" s="74" t="str">
        <f>"SP"&amp;TEXT(MOD(ROWS($C$2:C17)-1,12)+1,"000")</f>
        <v>SP004</v>
      </c>
      <c r="D17" s="74" t="s">
        <v>28</v>
      </c>
      <c r="E17" s="74" t="s">
        <v>8</v>
      </c>
      <c r="F17" s="86">
        <f>SUMIFS(tblSalesTargets[Target Amount],tblSalesTargets[MonthYear],A17,tblSalesTargets[Salesperson ID],C17)</f>
        <v>2781000</v>
      </c>
      <c r="G17" s="85">
        <f>SUMIFS(tblSalesTransactions[Sales Amount],tblSalesTransactions[Salesperson ID],C17,tblSalesTransactions[Date],"&gt;="&amp;DATE(YEAR(A17),MONTH(A17),1),tblSalesTransactions[Date],"&lt;"&amp;EDATE(A17,1))</f>
        <v>505500</v>
      </c>
      <c r="H17" s="85">
        <f t="shared" si="0"/>
        <v>-2275500</v>
      </c>
      <c r="I17" s="87">
        <f t="shared" si="1"/>
        <v>0.18176914778856526</v>
      </c>
      <c r="J17" s="74" t="str">
        <f>IF(I17&gt;='02_Control_Panel'!$B$8,"Achieved",IF(I17&gt;='02_Control_Panel'!$B$7,"Near Target","Below Target"))</f>
        <v>Below Target</v>
      </c>
    </row>
    <row r="18" spans="1:10">
      <c r="A18" s="8">
        <f t="shared" si="2"/>
        <v>46054</v>
      </c>
      <c r="B18" s="76">
        <f>ROUNDUP(ROWS($B$2:B18)/12,0)</f>
        <v>2</v>
      </c>
      <c r="C18" s="74" t="str">
        <f>"SP"&amp;TEXT(MOD(ROWS($C$2:C18)-1,12)+1,"000")</f>
        <v>SP005</v>
      </c>
      <c r="D18" s="74" t="s">
        <v>28</v>
      </c>
      <c r="E18" s="74" t="s">
        <v>8</v>
      </c>
      <c r="F18" s="86">
        <f>SUMIFS(tblSalesTargets[Target Amount],tblSalesTargets[MonthYear],A18,tblSalesTargets[Salesperson ID],C18)</f>
        <v>2575000</v>
      </c>
      <c r="G18" s="85">
        <f>SUMIFS(tblSalesTransactions[Sales Amount],tblSalesTransactions[Salesperson ID],C18,tblSalesTransactions[Date],"&gt;="&amp;DATE(YEAR(A18),MONTH(A18),1),tblSalesTransactions[Date],"&lt;"&amp;EDATE(A18,1))</f>
        <v>504000</v>
      </c>
      <c r="H18" s="85">
        <f t="shared" si="0"/>
        <v>-2071000</v>
      </c>
      <c r="I18" s="87">
        <f t="shared" si="1"/>
        <v>0.19572815533980584</v>
      </c>
      <c r="J18" s="74" t="str">
        <f>IF(I18&gt;='02_Control_Panel'!$B$8,"Achieved",IF(I18&gt;='02_Control_Panel'!$B$7,"Near Target","Below Target"))</f>
        <v>Below Target</v>
      </c>
    </row>
    <row r="19" spans="1:10">
      <c r="A19" s="8">
        <f t="shared" si="2"/>
        <v>46054</v>
      </c>
      <c r="B19" s="76">
        <f>ROUNDUP(ROWS($B$2:B19)/12,0)</f>
        <v>2</v>
      </c>
      <c r="C19" s="74" t="str">
        <f>"SP"&amp;TEXT(MOD(ROWS($C$2:C19)-1,12)+1,"000")</f>
        <v>SP006</v>
      </c>
      <c r="D19" s="74" t="s">
        <v>28</v>
      </c>
      <c r="E19" s="74" t="s">
        <v>8</v>
      </c>
      <c r="F19" s="86">
        <f>SUMIFS(tblSalesTargets[Target Amount],tblSalesTargets[MonthYear],A19,tblSalesTargets[Salesperson ID],C19)</f>
        <v>2369000</v>
      </c>
      <c r="G19" s="85">
        <f>SUMIFS(tblSalesTransactions[Sales Amount],tblSalesTransactions[Salesperson ID],C19,tblSalesTransactions[Date],"&gt;="&amp;DATE(YEAR(A19),MONTH(A19),1),tblSalesTransactions[Date],"&lt;"&amp;EDATE(A19,1))</f>
        <v>329000</v>
      </c>
      <c r="H19" s="85">
        <f t="shared" si="0"/>
        <v>-2040000</v>
      </c>
      <c r="I19" s="87">
        <f t="shared" si="1"/>
        <v>0.13887716336006753</v>
      </c>
      <c r="J19" s="74" t="str">
        <f>IF(I19&gt;='02_Control_Panel'!$B$8,"Achieved",IF(I19&gt;='02_Control_Panel'!$B$7,"Near Target","Below Target"))</f>
        <v>Below Target</v>
      </c>
    </row>
    <row r="20" spans="1:10">
      <c r="A20" s="8">
        <f t="shared" si="2"/>
        <v>46054</v>
      </c>
      <c r="B20" s="76">
        <f>ROUNDUP(ROWS($B$2:B20)/12,0)</f>
        <v>2</v>
      </c>
      <c r="C20" s="74" t="str">
        <f>"SP"&amp;TEXT(MOD(ROWS($C$2:C20)-1,12)+1,"000")</f>
        <v>SP007</v>
      </c>
      <c r="D20" s="74" t="s">
        <v>36</v>
      </c>
      <c r="E20" s="74" t="s">
        <v>11</v>
      </c>
      <c r="F20" s="86">
        <f>SUMIFS(tblSalesTargets[Target Amount],tblSalesTargets[MonthYear],A20,tblSalesTargets[Salesperson ID],C20)</f>
        <v>2472000</v>
      </c>
      <c r="G20" s="85">
        <f>SUMIFS(tblSalesTransactions[Sales Amount],tblSalesTransactions[Salesperson ID],C20,tblSalesTransactions[Date],"&gt;="&amp;DATE(YEAR(A20),MONTH(A20),1),tblSalesTransactions[Date],"&lt;"&amp;EDATE(A20,1))</f>
        <v>486000</v>
      </c>
      <c r="H20" s="85">
        <f t="shared" si="0"/>
        <v>-1986000</v>
      </c>
      <c r="I20" s="87">
        <f t="shared" si="1"/>
        <v>0.19660194174757281</v>
      </c>
      <c r="J20" s="74" t="str">
        <f>IF(I20&gt;='02_Control_Panel'!$B$8,"Achieved",IF(I20&gt;='02_Control_Panel'!$B$7,"Near Target","Below Target"))</f>
        <v>Below Target</v>
      </c>
    </row>
    <row r="21" spans="1:10">
      <c r="A21" s="8">
        <f t="shared" si="2"/>
        <v>46054</v>
      </c>
      <c r="B21" s="76">
        <f>ROUNDUP(ROWS($B$2:B21)/12,0)</f>
        <v>2</v>
      </c>
      <c r="C21" s="74" t="str">
        <f>"SP"&amp;TEXT(MOD(ROWS($C$2:C21)-1,12)+1,"000")</f>
        <v>SP008</v>
      </c>
      <c r="D21" s="74" t="s">
        <v>36</v>
      </c>
      <c r="E21" s="74" t="s">
        <v>11</v>
      </c>
      <c r="F21" s="86">
        <f>SUMIFS(tblSalesTargets[Target Amount],tblSalesTargets[MonthYear],A21,tblSalesTargets[Salesperson ID],C21)</f>
        <v>2266000</v>
      </c>
      <c r="G21" s="85">
        <f>SUMIFS(tblSalesTransactions[Sales Amount],tblSalesTransactions[Salesperson ID],C21,tblSalesTransactions[Date],"&gt;="&amp;DATE(YEAR(A21),MONTH(A21),1),tblSalesTransactions[Date],"&lt;"&amp;EDATE(A21,1))</f>
        <v>496500</v>
      </c>
      <c r="H21" s="85">
        <f t="shared" si="0"/>
        <v>-1769500</v>
      </c>
      <c r="I21" s="87">
        <f t="shared" si="1"/>
        <v>0.21910856134157106</v>
      </c>
      <c r="J21" s="74" t="str">
        <f>IF(I21&gt;='02_Control_Panel'!$B$8,"Achieved",IF(I21&gt;='02_Control_Panel'!$B$7,"Near Target","Below Target"))</f>
        <v>Below Target</v>
      </c>
    </row>
    <row r="22" spans="1:10">
      <c r="A22" s="8">
        <f t="shared" si="2"/>
        <v>46054</v>
      </c>
      <c r="B22" s="76">
        <f>ROUNDUP(ROWS($B$2:B22)/12,0)</f>
        <v>2</v>
      </c>
      <c r="C22" s="74" t="str">
        <f>"SP"&amp;TEXT(MOD(ROWS($C$2:C22)-1,12)+1,"000")</f>
        <v>SP009</v>
      </c>
      <c r="D22" s="74" t="s">
        <v>36</v>
      </c>
      <c r="E22" s="74" t="s">
        <v>11</v>
      </c>
      <c r="F22" s="86">
        <f>SUMIFS(tblSalesTargets[Target Amount],tblSalesTargets[MonthYear],A22,tblSalesTargets[Salesperson ID],C22)</f>
        <v>2163000</v>
      </c>
      <c r="G22" s="85">
        <f>SUMIFS(tblSalesTransactions[Sales Amount],tblSalesTransactions[Salesperson ID],C22,tblSalesTransactions[Date],"&gt;="&amp;DATE(YEAR(A22),MONTH(A22),1),tblSalesTransactions[Date],"&lt;"&amp;EDATE(A22,1))</f>
        <v>302500</v>
      </c>
      <c r="H22" s="85">
        <f t="shared" si="0"/>
        <v>-1860500</v>
      </c>
      <c r="I22" s="87">
        <f t="shared" si="1"/>
        <v>0.1398520573277855</v>
      </c>
      <c r="J22" s="74" t="str">
        <f>IF(I22&gt;='02_Control_Panel'!$B$8,"Achieved",IF(I22&gt;='02_Control_Panel'!$B$7,"Near Target","Below Target"))</f>
        <v>Below Target</v>
      </c>
    </row>
    <row r="23" spans="1:10">
      <c r="A23" s="8">
        <f t="shared" si="2"/>
        <v>46054</v>
      </c>
      <c r="B23" s="76">
        <f>ROUNDUP(ROWS($B$2:B23)/12,0)</f>
        <v>2</v>
      </c>
      <c r="C23" s="74" t="str">
        <f>"SP"&amp;TEXT(MOD(ROWS($C$2:C23)-1,12)+1,"000")</f>
        <v>SP010</v>
      </c>
      <c r="D23" s="74" t="s">
        <v>44</v>
      </c>
      <c r="E23" s="74" t="s">
        <v>14</v>
      </c>
      <c r="F23" s="86">
        <f>SUMIFS(tblSalesTargets[Target Amount],tblSalesTargets[MonthYear],A23,tblSalesTargets[Salesperson ID],C23)</f>
        <v>2266000</v>
      </c>
      <c r="G23" s="85">
        <f>SUMIFS(tblSalesTransactions[Sales Amount],tblSalesTransactions[Salesperson ID],C23,tblSalesTransactions[Date],"&gt;="&amp;DATE(YEAR(A23),MONTH(A23),1),tblSalesTransactions[Date],"&lt;"&amp;EDATE(A23,1))</f>
        <v>272500</v>
      </c>
      <c r="H23" s="85">
        <f t="shared" si="0"/>
        <v>-1993500</v>
      </c>
      <c r="I23" s="87">
        <f t="shared" si="1"/>
        <v>0.12025595763459841</v>
      </c>
      <c r="J23" s="74" t="str">
        <f>IF(I23&gt;='02_Control_Panel'!$B$8,"Achieved",IF(I23&gt;='02_Control_Panel'!$B$7,"Near Target","Below Target"))</f>
        <v>Below Target</v>
      </c>
    </row>
    <row r="24" spans="1:10">
      <c r="A24" s="8">
        <f t="shared" si="2"/>
        <v>46054</v>
      </c>
      <c r="B24" s="76">
        <f>ROUNDUP(ROWS($B$2:B24)/12,0)</f>
        <v>2</v>
      </c>
      <c r="C24" s="74" t="str">
        <f>"SP"&amp;TEXT(MOD(ROWS($C$2:C24)-1,12)+1,"000")</f>
        <v>SP011</v>
      </c>
      <c r="D24" s="74" t="s">
        <v>44</v>
      </c>
      <c r="E24" s="74" t="s">
        <v>14</v>
      </c>
      <c r="F24" s="86">
        <f>SUMIFS(tblSalesTargets[Target Amount],tblSalesTargets[MonthYear],A24,tblSalesTargets[Salesperson ID],C24)</f>
        <v>2060000</v>
      </c>
      <c r="G24" s="85">
        <f>SUMIFS(tblSalesTransactions[Sales Amount],tblSalesTransactions[Salesperson ID],C24,tblSalesTransactions[Date],"&gt;="&amp;DATE(YEAR(A24),MONTH(A24),1),tblSalesTransactions[Date],"&lt;"&amp;EDATE(A24,1))</f>
        <v>294500</v>
      </c>
      <c r="H24" s="85">
        <f t="shared" si="0"/>
        <v>-1765500</v>
      </c>
      <c r="I24" s="87">
        <f t="shared" si="1"/>
        <v>0.1429611650485437</v>
      </c>
      <c r="J24" s="74" t="str">
        <f>IF(I24&gt;='02_Control_Panel'!$B$8,"Achieved",IF(I24&gt;='02_Control_Panel'!$B$7,"Near Target","Below Target"))</f>
        <v>Below Target</v>
      </c>
    </row>
    <row r="25" spans="1:10">
      <c r="A25" s="8">
        <f t="shared" si="2"/>
        <v>46054</v>
      </c>
      <c r="B25" s="76">
        <f>ROUNDUP(ROWS($B$2:B25)/12,0)</f>
        <v>2</v>
      </c>
      <c r="C25" s="74" t="str">
        <f>"SP"&amp;TEXT(MOD(ROWS($C$2:C25)-1,12)+1,"000")</f>
        <v>SP012</v>
      </c>
      <c r="D25" s="74" t="s">
        <v>44</v>
      </c>
      <c r="E25" s="74" t="s">
        <v>14</v>
      </c>
      <c r="F25" s="86">
        <f>SUMIFS(tblSalesTargets[Target Amount],tblSalesTargets[MonthYear],A25,tblSalesTargets[Salesperson ID],C25)</f>
        <v>1957000</v>
      </c>
      <c r="G25" s="85">
        <f>SUMIFS(tblSalesTransactions[Sales Amount],tblSalesTransactions[Salesperson ID],C25,tblSalesTransactions[Date],"&gt;="&amp;DATE(YEAR(A25),MONTH(A25),1),tblSalesTransactions[Date],"&lt;"&amp;EDATE(A25,1))</f>
        <v>256000</v>
      </c>
      <c r="H25" s="85">
        <f t="shared" si="0"/>
        <v>-1701000</v>
      </c>
      <c r="I25" s="87">
        <f t="shared" si="1"/>
        <v>0.1308124680633623</v>
      </c>
      <c r="J25" s="74" t="str">
        <f>IF(I25&gt;='02_Control_Panel'!$B$8,"Achieved",IF(I25&gt;='02_Control_Panel'!$B$7,"Near Target","Below Target"))</f>
        <v>Below Target</v>
      </c>
    </row>
    <row r="26" spans="1:10">
      <c r="A26" s="8">
        <f t="shared" si="2"/>
        <v>46082</v>
      </c>
      <c r="B26" s="76">
        <f>ROUNDUP(ROWS($B$2:B26)/12,0)</f>
        <v>3</v>
      </c>
      <c r="C26" s="74" t="str">
        <f>"SP"&amp;TEXT(MOD(ROWS($C$2:C26)-1,12)+1,"000")</f>
        <v>SP001</v>
      </c>
      <c r="D26" s="74" t="s">
        <v>20</v>
      </c>
      <c r="E26" s="74" t="s">
        <v>4</v>
      </c>
      <c r="F26" s="86">
        <f>SUMIFS(tblSalesTargets[Target Amount],tblSalesTargets[MonthYear],A26,tblSalesTargets[Salesperson ID],C26)</f>
        <v>2625000</v>
      </c>
      <c r="G26" s="85">
        <f>SUMIFS(tblSalesTransactions[Sales Amount],tblSalesTransactions[Salesperson ID],C26,tblSalesTransactions[Date],"&gt;="&amp;DATE(YEAR(A26),MONTH(A26),1),tblSalesTransactions[Date],"&lt;"&amp;EDATE(A26,1))</f>
        <v>238250</v>
      </c>
      <c r="H26" s="85">
        <f t="shared" si="0"/>
        <v>-2386750</v>
      </c>
      <c r="I26" s="87">
        <f t="shared" si="1"/>
        <v>9.0761904761904766E-2</v>
      </c>
      <c r="J26" s="74" t="str">
        <f>IF(I26&gt;='02_Control_Panel'!$B$8,"Achieved",IF(I26&gt;='02_Control_Panel'!$B$7,"Near Target","Below Target"))</f>
        <v>Below Target</v>
      </c>
    </row>
    <row r="27" spans="1:10">
      <c r="A27" s="8">
        <f t="shared" si="2"/>
        <v>46082</v>
      </c>
      <c r="B27" s="76">
        <f>ROUNDUP(ROWS($B$2:B27)/12,0)</f>
        <v>3</v>
      </c>
      <c r="C27" s="74" t="str">
        <f>"SP"&amp;TEXT(MOD(ROWS($C$2:C27)-1,12)+1,"000")</f>
        <v>SP002</v>
      </c>
      <c r="D27" s="74" t="s">
        <v>20</v>
      </c>
      <c r="E27" s="74" t="s">
        <v>4</v>
      </c>
      <c r="F27" s="86">
        <f>SUMIFS(tblSalesTargets[Target Amount],tblSalesTargets[MonthYear],A27,tblSalesTargets[Salesperson ID],C27)</f>
        <v>2415000</v>
      </c>
      <c r="G27" s="85">
        <f>SUMIFS(tblSalesTransactions[Sales Amount],tblSalesTransactions[Salesperson ID],C27,tblSalesTransactions[Date],"&gt;="&amp;DATE(YEAR(A27),MONTH(A27),1),tblSalesTransactions[Date],"&lt;"&amp;EDATE(A27,1))</f>
        <v>348000</v>
      </c>
      <c r="H27" s="85">
        <f t="shared" si="0"/>
        <v>-2067000</v>
      </c>
      <c r="I27" s="87">
        <f t="shared" si="1"/>
        <v>0.14409937888198757</v>
      </c>
      <c r="J27" s="74" t="str">
        <f>IF(I27&gt;='02_Control_Panel'!$B$8,"Achieved",IF(I27&gt;='02_Control_Panel'!$B$7,"Near Target","Below Target"))</f>
        <v>Below Target</v>
      </c>
    </row>
    <row r="28" spans="1:10">
      <c r="A28" s="8">
        <f t="shared" si="2"/>
        <v>46082</v>
      </c>
      <c r="B28" s="76">
        <f>ROUNDUP(ROWS($B$2:B28)/12,0)</f>
        <v>3</v>
      </c>
      <c r="C28" s="74" t="str">
        <f>"SP"&amp;TEXT(MOD(ROWS($C$2:C28)-1,12)+1,"000")</f>
        <v>SP003</v>
      </c>
      <c r="D28" s="74" t="s">
        <v>20</v>
      </c>
      <c r="E28" s="74" t="s">
        <v>4</v>
      </c>
      <c r="F28" s="86">
        <f>SUMIFS(tblSalesTargets[Target Amount],tblSalesTargets[MonthYear],A28,tblSalesTargets[Salesperson ID],C28)</f>
        <v>2310000</v>
      </c>
      <c r="G28" s="85">
        <f>SUMIFS(tblSalesTransactions[Sales Amount],tblSalesTransactions[Salesperson ID],C28,tblSalesTransactions[Date],"&gt;="&amp;DATE(YEAR(A28),MONTH(A28),1),tblSalesTransactions[Date],"&lt;"&amp;EDATE(A28,1))</f>
        <v>316000</v>
      </c>
      <c r="H28" s="85">
        <f t="shared" si="0"/>
        <v>-1994000</v>
      </c>
      <c r="I28" s="87">
        <f t="shared" si="1"/>
        <v>0.13679653679653681</v>
      </c>
      <c r="J28" s="74" t="str">
        <f>IF(I28&gt;='02_Control_Panel'!$B$8,"Achieved",IF(I28&gt;='02_Control_Panel'!$B$7,"Near Target","Below Target"))</f>
        <v>Below Target</v>
      </c>
    </row>
    <row r="29" spans="1:10">
      <c r="A29" s="8">
        <f t="shared" si="2"/>
        <v>46082</v>
      </c>
      <c r="B29" s="76">
        <f>ROUNDUP(ROWS($B$2:B29)/12,0)</f>
        <v>3</v>
      </c>
      <c r="C29" s="74" t="str">
        <f>"SP"&amp;TEXT(MOD(ROWS($C$2:C29)-1,12)+1,"000")</f>
        <v>SP004</v>
      </c>
      <c r="D29" s="74" t="s">
        <v>28</v>
      </c>
      <c r="E29" s="74" t="s">
        <v>8</v>
      </c>
      <c r="F29" s="86">
        <f>SUMIFS(tblSalesTargets[Target Amount],tblSalesTargets[MonthYear],A29,tblSalesTargets[Salesperson ID],C29)</f>
        <v>2835000</v>
      </c>
      <c r="G29" s="85">
        <f>SUMIFS(tblSalesTransactions[Sales Amount],tblSalesTransactions[Salesperson ID],C29,tblSalesTransactions[Date],"&gt;="&amp;DATE(YEAR(A29),MONTH(A29),1),tblSalesTransactions[Date],"&lt;"&amp;EDATE(A29,1))</f>
        <v>462500</v>
      </c>
      <c r="H29" s="85">
        <f t="shared" si="0"/>
        <v>-2372500</v>
      </c>
      <c r="I29" s="87">
        <f t="shared" si="1"/>
        <v>0.16313932980599646</v>
      </c>
      <c r="J29" s="74" t="str">
        <f>IF(I29&gt;='02_Control_Panel'!$B$8,"Achieved",IF(I29&gt;='02_Control_Panel'!$B$7,"Near Target","Below Target"))</f>
        <v>Below Target</v>
      </c>
    </row>
    <row r="30" spans="1:10">
      <c r="A30" s="8">
        <f t="shared" si="2"/>
        <v>46082</v>
      </c>
      <c r="B30" s="76">
        <f>ROUNDUP(ROWS($B$2:B30)/12,0)</f>
        <v>3</v>
      </c>
      <c r="C30" s="74" t="str">
        <f>"SP"&amp;TEXT(MOD(ROWS($C$2:C30)-1,12)+1,"000")</f>
        <v>SP005</v>
      </c>
      <c r="D30" s="74" t="s">
        <v>28</v>
      </c>
      <c r="E30" s="74" t="s">
        <v>8</v>
      </c>
      <c r="F30" s="86">
        <f>SUMIFS(tblSalesTargets[Target Amount],tblSalesTargets[MonthYear],A30,tblSalesTargets[Salesperson ID],C30)</f>
        <v>2625000</v>
      </c>
      <c r="G30" s="85">
        <f>SUMIFS(tblSalesTransactions[Sales Amount],tblSalesTransactions[Salesperson ID],C30,tblSalesTransactions[Date],"&gt;="&amp;DATE(YEAR(A30),MONTH(A30),1),tblSalesTransactions[Date],"&lt;"&amp;EDATE(A30,1))</f>
        <v>408000</v>
      </c>
      <c r="H30" s="85">
        <f t="shared" si="0"/>
        <v>-2217000</v>
      </c>
      <c r="I30" s="87">
        <f t="shared" si="1"/>
        <v>0.15542857142857142</v>
      </c>
      <c r="J30" s="74" t="str">
        <f>IF(I30&gt;='02_Control_Panel'!$B$8,"Achieved",IF(I30&gt;='02_Control_Panel'!$B$7,"Near Target","Below Target"))</f>
        <v>Below Target</v>
      </c>
    </row>
    <row r="31" spans="1:10">
      <c r="A31" s="8">
        <f t="shared" si="2"/>
        <v>46082</v>
      </c>
      <c r="B31" s="76">
        <f>ROUNDUP(ROWS($B$2:B31)/12,0)</f>
        <v>3</v>
      </c>
      <c r="C31" s="74" t="str">
        <f>"SP"&amp;TEXT(MOD(ROWS($C$2:C31)-1,12)+1,"000")</f>
        <v>SP006</v>
      </c>
      <c r="D31" s="74" t="s">
        <v>28</v>
      </c>
      <c r="E31" s="74" t="s">
        <v>8</v>
      </c>
      <c r="F31" s="86">
        <f>SUMIFS(tblSalesTargets[Target Amount],tblSalesTargets[MonthYear],A31,tblSalesTargets[Salesperson ID],C31)</f>
        <v>2415000</v>
      </c>
      <c r="G31" s="85">
        <f>SUMIFS(tblSalesTransactions[Sales Amount],tblSalesTransactions[Salesperson ID],C31,tblSalesTransactions[Date],"&gt;="&amp;DATE(YEAR(A31),MONTH(A31),1),tblSalesTransactions[Date],"&lt;"&amp;EDATE(A31,1))</f>
        <v>455500</v>
      </c>
      <c r="H31" s="85">
        <f t="shared" si="0"/>
        <v>-1959500</v>
      </c>
      <c r="I31" s="87">
        <f t="shared" si="1"/>
        <v>0.1886128364389234</v>
      </c>
      <c r="J31" s="74" t="str">
        <f>IF(I31&gt;='02_Control_Panel'!$B$8,"Achieved",IF(I31&gt;='02_Control_Panel'!$B$7,"Near Target","Below Target"))</f>
        <v>Below Target</v>
      </c>
    </row>
    <row r="32" spans="1:10">
      <c r="A32" s="8">
        <f t="shared" si="2"/>
        <v>46082</v>
      </c>
      <c r="B32" s="76">
        <f>ROUNDUP(ROWS($B$2:B32)/12,0)</f>
        <v>3</v>
      </c>
      <c r="C32" s="74" t="str">
        <f>"SP"&amp;TEXT(MOD(ROWS($C$2:C32)-1,12)+1,"000")</f>
        <v>SP007</v>
      </c>
      <c r="D32" s="74" t="s">
        <v>36</v>
      </c>
      <c r="E32" s="74" t="s">
        <v>11</v>
      </c>
      <c r="F32" s="86">
        <f>SUMIFS(tblSalesTargets[Target Amount],tblSalesTargets[MonthYear],A32,tblSalesTargets[Salesperson ID],C32)</f>
        <v>2520000</v>
      </c>
      <c r="G32" s="85">
        <f>SUMIFS(tblSalesTransactions[Sales Amount],tblSalesTransactions[Salesperson ID],C32,tblSalesTransactions[Date],"&gt;="&amp;DATE(YEAR(A32),MONTH(A32),1),tblSalesTransactions[Date],"&lt;"&amp;EDATE(A32,1))</f>
        <v>496500</v>
      </c>
      <c r="H32" s="85">
        <f t="shared" si="0"/>
        <v>-2023500</v>
      </c>
      <c r="I32" s="87">
        <f t="shared" si="1"/>
        <v>0.19702380952380952</v>
      </c>
      <c r="J32" s="74" t="str">
        <f>IF(I32&gt;='02_Control_Panel'!$B$8,"Achieved",IF(I32&gt;='02_Control_Panel'!$B$7,"Near Target","Below Target"))</f>
        <v>Below Target</v>
      </c>
    </row>
    <row r="33" spans="1:10">
      <c r="A33" s="8">
        <f t="shared" si="2"/>
        <v>46082</v>
      </c>
      <c r="B33" s="76">
        <f>ROUNDUP(ROWS($B$2:B33)/12,0)</f>
        <v>3</v>
      </c>
      <c r="C33" s="74" t="str">
        <f>"SP"&amp;TEXT(MOD(ROWS($C$2:C33)-1,12)+1,"000")</f>
        <v>SP008</v>
      </c>
      <c r="D33" s="74" t="s">
        <v>36</v>
      </c>
      <c r="E33" s="74" t="s">
        <v>11</v>
      </c>
      <c r="F33" s="86">
        <f>SUMIFS(tblSalesTargets[Target Amount],tblSalesTargets[MonthYear],A33,tblSalesTargets[Salesperson ID],C33)</f>
        <v>2310000</v>
      </c>
      <c r="G33" s="85">
        <f>SUMIFS(tblSalesTransactions[Sales Amount],tblSalesTransactions[Salesperson ID],C33,tblSalesTransactions[Date],"&gt;="&amp;DATE(YEAR(A33),MONTH(A33),1),tblSalesTransactions[Date],"&lt;"&amp;EDATE(A33,1))</f>
        <v>538500</v>
      </c>
      <c r="H33" s="85">
        <f t="shared" si="0"/>
        <v>-1771500</v>
      </c>
      <c r="I33" s="87">
        <f t="shared" si="1"/>
        <v>0.23311688311688311</v>
      </c>
      <c r="J33" s="74" t="str">
        <f>IF(I33&gt;='02_Control_Panel'!$B$8,"Achieved",IF(I33&gt;='02_Control_Panel'!$B$7,"Near Target","Below Target"))</f>
        <v>Below Target</v>
      </c>
    </row>
    <row r="34" spans="1:10">
      <c r="A34" s="8">
        <f t="shared" si="2"/>
        <v>46082</v>
      </c>
      <c r="B34" s="76">
        <f>ROUNDUP(ROWS($B$2:B34)/12,0)</f>
        <v>3</v>
      </c>
      <c r="C34" s="74" t="str">
        <f>"SP"&amp;TEXT(MOD(ROWS($C$2:C34)-1,12)+1,"000")</f>
        <v>SP009</v>
      </c>
      <c r="D34" s="74" t="s">
        <v>36</v>
      </c>
      <c r="E34" s="74" t="s">
        <v>11</v>
      </c>
      <c r="F34" s="86">
        <f>SUMIFS(tblSalesTargets[Target Amount],tblSalesTargets[MonthYear],A34,tblSalesTargets[Salesperson ID],C34)</f>
        <v>2205000</v>
      </c>
      <c r="G34" s="85">
        <f>SUMIFS(tblSalesTransactions[Sales Amount],tblSalesTransactions[Salesperson ID],C34,tblSalesTransactions[Date],"&gt;="&amp;DATE(YEAR(A34),MONTH(A34),1),tblSalesTransactions[Date],"&lt;"&amp;EDATE(A34,1))</f>
        <v>347500</v>
      </c>
      <c r="H34" s="85">
        <f t="shared" si="0"/>
        <v>-1857500</v>
      </c>
      <c r="I34" s="87">
        <f t="shared" si="1"/>
        <v>0.15759637188208617</v>
      </c>
      <c r="J34" s="74" t="str">
        <f>IF(I34&gt;='02_Control_Panel'!$B$8,"Achieved",IF(I34&gt;='02_Control_Panel'!$B$7,"Near Target","Below Target"))</f>
        <v>Below Target</v>
      </c>
    </row>
    <row r="35" spans="1:10">
      <c r="A35" s="8">
        <f t="shared" si="2"/>
        <v>46082</v>
      </c>
      <c r="B35" s="76">
        <f>ROUNDUP(ROWS($B$2:B35)/12,0)</f>
        <v>3</v>
      </c>
      <c r="C35" s="74" t="str">
        <f>"SP"&amp;TEXT(MOD(ROWS($C$2:C35)-1,12)+1,"000")</f>
        <v>SP010</v>
      </c>
      <c r="D35" s="74" t="s">
        <v>44</v>
      </c>
      <c r="E35" s="74" t="s">
        <v>14</v>
      </c>
      <c r="F35" s="86">
        <f>SUMIFS(tblSalesTargets[Target Amount],tblSalesTargets[MonthYear],A35,tblSalesTargets[Salesperson ID],C35)</f>
        <v>2310000</v>
      </c>
      <c r="G35" s="85">
        <f>SUMIFS(tblSalesTransactions[Sales Amount],tblSalesTransactions[Salesperson ID],C35,tblSalesTransactions[Date],"&gt;="&amp;DATE(YEAR(A35),MONTH(A35),1),tblSalesTransactions[Date],"&lt;"&amp;EDATE(A35,1))</f>
        <v>297500</v>
      </c>
      <c r="H35" s="85">
        <f t="shared" si="0"/>
        <v>-2012500</v>
      </c>
      <c r="I35" s="87">
        <f t="shared" si="1"/>
        <v>0.12878787878787878</v>
      </c>
      <c r="J35" s="74" t="str">
        <f>IF(I35&gt;='02_Control_Panel'!$B$8,"Achieved",IF(I35&gt;='02_Control_Panel'!$B$7,"Near Target","Below Target"))</f>
        <v>Below Target</v>
      </c>
    </row>
    <row r="36" spans="1:10">
      <c r="A36" s="8">
        <f t="shared" si="2"/>
        <v>46082</v>
      </c>
      <c r="B36" s="76">
        <f>ROUNDUP(ROWS($B$2:B36)/12,0)</f>
        <v>3</v>
      </c>
      <c r="C36" s="74" t="str">
        <f>"SP"&amp;TEXT(MOD(ROWS($C$2:C36)-1,12)+1,"000")</f>
        <v>SP011</v>
      </c>
      <c r="D36" s="74" t="s">
        <v>44</v>
      </c>
      <c r="E36" s="74" t="s">
        <v>14</v>
      </c>
      <c r="F36" s="86">
        <f>SUMIFS(tblSalesTargets[Target Amount],tblSalesTargets[MonthYear],A36,tblSalesTargets[Salesperson ID],C36)</f>
        <v>2100000</v>
      </c>
      <c r="G36" s="85">
        <f>SUMIFS(tblSalesTransactions[Sales Amount],tblSalesTransactions[Salesperson ID],C36,tblSalesTransactions[Date],"&gt;="&amp;DATE(YEAR(A36),MONTH(A36),1),tblSalesTransactions[Date],"&lt;"&amp;EDATE(A36,1))</f>
        <v>319000</v>
      </c>
      <c r="H36" s="85">
        <f t="shared" si="0"/>
        <v>-1781000</v>
      </c>
      <c r="I36" s="87">
        <f t="shared" si="1"/>
        <v>0.1519047619047619</v>
      </c>
      <c r="J36" s="74" t="str">
        <f>IF(I36&gt;='02_Control_Panel'!$B$8,"Achieved",IF(I36&gt;='02_Control_Panel'!$B$7,"Near Target","Below Target"))</f>
        <v>Below Target</v>
      </c>
    </row>
    <row r="37" spans="1:10">
      <c r="A37" s="8">
        <f t="shared" si="2"/>
        <v>46082</v>
      </c>
      <c r="B37" s="76">
        <f>ROUNDUP(ROWS($B$2:B37)/12,0)</f>
        <v>3</v>
      </c>
      <c r="C37" s="74" t="str">
        <f>"SP"&amp;TEXT(MOD(ROWS($C$2:C37)-1,12)+1,"000")</f>
        <v>SP012</v>
      </c>
      <c r="D37" s="74" t="s">
        <v>44</v>
      </c>
      <c r="E37" s="74" t="s">
        <v>14</v>
      </c>
      <c r="F37" s="86">
        <f>SUMIFS(tblSalesTargets[Target Amount],tblSalesTargets[MonthYear],A37,tblSalesTargets[Salesperson ID],C37)</f>
        <v>1995000</v>
      </c>
      <c r="G37" s="85">
        <f>SUMIFS(tblSalesTransactions[Sales Amount],tblSalesTransactions[Salesperson ID],C37,tblSalesTransactions[Date],"&gt;="&amp;DATE(YEAR(A37),MONTH(A37),1),tblSalesTransactions[Date],"&lt;"&amp;EDATE(A37,1))</f>
        <v>280500</v>
      </c>
      <c r="H37" s="85">
        <f t="shared" si="0"/>
        <v>-1714500</v>
      </c>
      <c r="I37" s="87">
        <f t="shared" si="1"/>
        <v>0.14060150375939851</v>
      </c>
      <c r="J37" s="74" t="str">
        <f>IF(I37&gt;='02_Control_Panel'!$B$8,"Achieved",IF(I37&gt;='02_Control_Panel'!$B$7,"Near Target","Below Target"))</f>
        <v>Below Target</v>
      </c>
    </row>
    <row r="38" spans="1:10">
      <c r="A38" s="8">
        <f t="shared" si="2"/>
        <v>46113</v>
      </c>
      <c r="B38" s="76">
        <f>ROUNDUP(ROWS($B$2:B38)/12,0)</f>
        <v>4</v>
      </c>
      <c r="C38" s="74" t="str">
        <f>"SP"&amp;TEXT(MOD(ROWS($C$2:C38)-1,12)+1,"000")</f>
        <v>SP001</v>
      </c>
      <c r="D38" s="74" t="s">
        <v>20</v>
      </c>
      <c r="E38" s="74" t="s">
        <v>4</v>
      </c>
      <c r="F38" s="86">
        <f>SUMIFS(tblSalesTargets[Target Amount],tblSalesTargets[MonthYear],A38,tblSalesTargets[Salesperson ID],C38)</f>
        <v>2450000</v>
      </c>
      <c r="G38" s="85">
        <f>SUMIFS(tblSalesTransactions[Sales Amount],tblSalesTransactions[Salesperson ID],C38,tblSalesTransactions[Date],"&gt;="&amp;DATE(YEAR(A38),MONTH(A38),1),tblSalesTransactions[Date],"&lt;"&amp;EDATE(A38,1))</f>
        <v>216000</v>
      </c>
      <c r="H38" s="85">
        <f t="shared" si="0"/>
        <v>-2234000</v>
      </c>
      <c r="I38" s="87">
        <f t="shared" si="1"/>
        <v>8.8163265306122451E-2</v>
      </c>
      <c r="J38" s="74" t="str">
        <f>IF(I38&gt;='02_Control_Panel'!$B$8,"Achieved",IF(I38&gt;='02_Control_Panel'!$B$7,"Near Target","Below Target"))</f>
        <v>Below Target</v>
      </c>
    </row>
    <row r="39" spans="1:10">
      <c r="A39" s="8">
        <f t="shared" si="2"/>
        <v>46113</v>
      </c>
      <c r="B39" s="76">
        <f>ROUNDUP(ROWS($B$2:B39)/12,0)</f>
        <v>4</v>
      </c>
      <c r="C39" s="74" t="str">
        <f>"SP"&amp;TEXT(MOD(ROWS($C$2:C39)-1,12)+1,"000")</f>
        <v>SP002</v>
      </c>
      <c r="D39" s="74" t="s">
        <v>20</v>
      </c>
      <c r="E39" s="74" t="s">
        <v>4</v>
      </c>
      <c r="F39" s="86">
        <f>SUMIFS(tblSalesTargets[Target Amount],tblSalesTargets[MonthYear],A39,tblSalesTargets[Salesperson ID],C39)</f>
        <v>2254000</v>
      </c>
      <c r="G39" s="85">
        <f>SUMIFS(tblSalesTransactions[Sales Amount],tblSalesTransactions[Salesperson ID],C39,tblSalesTransactions[Date],"&gt;="&amp;DATE(YEAR(A39),MONTH(A39),1),tblSalesTransactions[Date],"&lt;"&amp;EDATE(A39,1))</f>
        <v>265500</v>
      </c>
      <c r="H39" s="85">
        <f t="shared" si="0"/>
        <v>-1988500</v>
      </c>
      <c r="I39" s="87">
        <f t="shared" si="1"/>
        <v>0.11779059449866904</v>
      </c>
      <c r="J39" s="74" t="str">
        <f>IF(I39&gt;='02_Control_Panel'!$B$8,"Achieved",IF(I39&gt;='02_Control_Panel'!$B$7,"Near Target","Below Target"))</f>
        <v>Below Target</v>
      </c>
    </row>
    <row r="40" spans="1:10">
      <c r="A40" s="8">
        <f t="shared" si="2"/>
        <v>46113</v>
      </c>
      <c r="B40" s="76">
        <f>ROUNDUP(ROWS($B$2:B40)/12,0)</f>
        <v>4</v>
      </c>
      <c r="C40" s="74" t="str">
        <f>"SP"&amp;TEXT(MOD(ROWS($C$2:C40)-1,12)+1,"000")</f>
        <v>SP003</v>
      </c>
      <c r="D40" s="74" t="s">
        <v>20</v>
      </c>
      <c r="E40" s="74" t="s">
        <v>4</v>
      </c>
      <c r="F40" s="86">
        <f>SUMIFS(tblSalesTargets[Target Amount],tblSalesTargets[MonthYear],A40,tblSalesTargets[Salesperson ID],C40)</f>
        <v>2156000</v>
      </c>
      <c r="G40" s="85">
        <f>SUMIFS(tblSalesTransactions[Sales Amount],tblSalesTransactions[Salesperson ID],C40,tblSalesTransactions[Date],"&gt;="&amp;DATE(YEAR(A40),MONTH(A40),1),tblSalesTransactions[Date],"&lt;"&amp;EDATE(A40,1))</f>
        <v>228250</v>
      </c>
      <c r="H40" s="85">
        <f t="shared" si="0"/>
        <v>-1927750</v>
      </c>
      <c r="I40" s="87">
        <f t="shared" si="1"/>
        <v>0.10586734693877552</v>
      </c>
      <c r="J40" s="74" t="str">
        <f>IF(I40&gt;='02_Control_Panel'!$B$8,"Achieved",IF(I40&gt;='02_Control_Panel'!$B$7,"Near Target","Below Target"))</f>
        <v>Below Target</v>
      </c>
    </row>
    <row r="41" spans="1:10">
      <c r="A41" s="8">
        <f t="shared" si="2"/>
        <v>46113</v>
      </c>
      <c r="B41" s="76">
        <f>ROUNDUP(ROWS($B$2:B41)/12,0)</f>
        <v>4</v>
      </c>
      <c r="C41" s="74" t="str">
        <f>"SP"&amp;TEXT(MOD(ROWS($C$2:C41)-1,12)+1,"000")</f>
        <v>SP004</v>
      </c>
      <c r="D41" s="74" t="s">
        <v>28</v>
      </c>
      <c r="E41" s="74" t="s">
        <v>8</v>
      </c>
      <c r="F41" s="86">
        <f>SUMIFS(tblSalesTargets[Target Amount],tblSalesTargets[MonthYear],A41,tblSalesTargets[Salesperson ID],C41)</f>
        <v>2646000</v>
      </c>
      <c r="G41" s="85">
        <f>SUMIFS(tblSalesTransactions[Sales Amount],tblSalesTransactions[Salesperson ID],C41,tblSalesTransactions[Date],"&gt;="&amp;DATE(YEAR(A41),MONTH(A41),1),tblSalesTransactions[Date],"&lt;"&amp;EDATE(A41,1))</f>
        <v>433500</v>
      </c>
      <c r="H41" s="85">
        <f t="shared" si="0"/>
        <v>-2212500</v>
      </c>
      <c r="I41" s="87">
        <f t="shared" si="1"/>
        <v>0.16383219954648526</v>
      </c>
      <c r="J41" s="74" t="str">
        <f>IF(I41&gt;='02_Control_Panel'!$B$8,"Achieved",IF(I41&gt;='02_Control_Panel'!$B$7,"Near Target","Below Target"))</f>
        <v>Below Target</v>
      </c>
    </row>
    <row r="42" spans="1:10">
      <c r="A42" s="8">
        <f t="shared" si="2"/>
        <v>46113</v>
      </c>
      <c r="B42" s="76">
        <f>ROUNDUP(ROWS($B$2:B42)/12,0)</f>
        <v>4</v>
      </c>
      <c r="C42" s="74" t="str">
        <f>"SP"&amp;TEXT(MOD(ROWS($C$2:C42)-1,12)+1,"000")</f>
        <v>SP005</v>
      </c>
      <c r="D42" s="74" t="s">
        <v>28</v>
      </c>
      <c r="E42" s="74" t="s">
        <v>8</v>
      </c>
      <c r="F42" s="86">
        <f>SUMIFS(tblSalesTargets[Target Amount],tblSalesTargets[MonthYear],A42,tblSalesTargets[Salesperson ID],C42)</f>
        <v>2450000</v>
      </c>
      <c r="G42" s="85">
        <f>SUMIFS(tblSalesTransactions[Sales Amount],tblSalesTransactions[Salesperson ID],C42,tblSalesTransactions[Date],"&gt;="&amp;DATE(YEAR(A42),MONTH(A42),1),tblSalesTransactions[Date],"&lt;"&amp;EDATE(A42,1))</f>
        <v>435000</v>
      </c>
      <c r="H42" s="85">
        <f t="shared" si="0"/>
        <v>-2015000</v>
      </c>
      <c r="I42" s="87">
        <f t="shared" si="1"/>
        <v>0.17755102040816326</v>
      </c>
      <c r="J42" s="74" t="str">
        <f>IF(I42&gt;='02_Control_Panel'!$B$8,"Achieved",IF(I42&gt;='02_Control_Panel'!$B$7,"Near Target","Below Target"))</f>
        <v>Below Target</v>
      </c>
    </row>
    <row r="43" spans="1:10">
      <c r="A43" s="8">
        <f t="shared" si="2"/>
        <v>46113</v>
      </c>
      <c r="B43" s="76">
        <f>ROUNDUP(ROWS($B$2:B43)/12,0)</f>
        <v>4</v>
      </c>
      <c r="C43" s="74" t="str">
        <f>"SP"&amp;TEXT(MOD(ROWS($C$2:C43)-1,12)+1,"000")</f>
        <v>SP006</v>
      </c>
      <c r="D43" s="74" t="s">
        <v>28</v>
      </c>
      <c r="E43" s="74" t="s">
        <v>8</v>
      </c>
      <c r="F43" s="86">
        <f>SUMIFS(tblSalesTargets[Target Amount],tblSalesTargets[MonthYear],A43,tblSalesTargets[Salesperson ID],C43)</f>
        <v>2254000</v>
      </c>
      <c r="G43" s="85">
        <f>SUMIFS(tblSalesTransactions[Sales Amount],tblSalesTransactions[Salesperson ID],C43,tblSalesTransactions[Date],"&gt;="&amp;DATE(YEAR(A43),MONTH(A43),1),tblSalesTransactions[Date],"&lt;"&amp;EDATE(A43,1))</f>
        <v>296250</v>
      </c>
      <c r="H43" s="85">
        <f t="shared" si="0"/>
        <v>-1957750</v>
      </c>
      <c r="I43" s="87">
        <f t="shared" si="1"/>
        <v>0.13143300798580301</v>
      </c>
      <c r="J43" s="74" t="str">
        <f>IF(I43&gt;='02_Control_Panel'!$B$8,"Achieved",IF(I43&gt;='02_Control_Panel'!$B$7,"Near Target","Below Target"))</f>
        <v>Below Target</v>
      </c>
    </row>
    <row r="44" spans="1:10">
      <c r="A44" s="8">
        <f t="shared" si="2"/>
        <v>46113</v>
      </c>
      <c r="B44" s="76">
        <f>ROUNDUP(ROWS($B$2:B44)/12,0)</f>
        <v>4</v>
      </c>
      <c r="C44" s="74" t="str">
        <f>"SP"&amp;TEXT(MOD(ROWS($C$2:C44)-1,12)+1,"000")</f>
        <v>SP007</v>
      </c>
      <c r="D44" s="74" t="s">
        <v>36</v>
      </c>
      <c r="E44" s="74" t="s">
        <v>11</v>
      </c>
      <c r="F44" s="86">
        <f>SUMIFS(tblSalesTargets[Target Amount],tblSalesTargets[MonthYear],A44,tblSalesTargets[Salesperson ID],C44)</f>
        <v>2352000</v>
      </c>
      <c r="G44" s="85">
        <f>SUMIFS(tblSalesTransactions[Sales Amount],tblSalesTransactions[Salesperson ID],C44,tblSalesTransactions[Date],"&gt;="&amp;DATE(YEAR(A44),MONTH(A44),1),tblSalesTransactions[Date],"&lt;"&amp;EDATE(A44,1))</f>
        <v>460500</v>
      </c>
      <c r="H44" s="85">
        <f t="shared" si="0"/>
        <v>-1891500</v>
      </c>
      <c r="I44" s="87">
        <f t="shared" si="1"/>
        <v>0.19579081632653061</v>
      </c>
      <c r="J44" s="74" t="str">
        <f>IF(I44&gt;='02_Control_Panel'!$B$8,"Achieved",IF(I44&gt;='02_Control_Panel'!$B$7,"Near Target","Below Target"))</f>
        <v>Below Target</v>
      </c>
    </row>
    <row r="45" spans="1:10">
      <c r="A45" s="8">
        <f t="shared" si="2"/>
        <v>46113</v>
      </c>
      <c r="B45" s="76">
        <f>ROUNDUP(ROWS($B$2:B45)/12,0)</f>
        <v>4</v>
      </c>
      <c r="C45" s="74" t="str">
        <f>"SP"&amp;TEXT(MOD(ROWS($C$2:C45)-1,12)+1,"000")</f>
        <v>SP008</v>
      </c>
      <c r="D45" s="74" t="s">
        <v>36</v>
      </c>
      <c r="E45" s="74" t="s">
        <v>11</v>
      </c>
      <c r="F45" s="86">
        <f>SUMIFS(tblSalesTargets[Target Amount],tblSalesTargets[MonthYear],A45,tblSalesTargets[Salesperson ID],C45)</f>
        <v>2156000</v>
      </c>
      <c r="G45" s="85">
        <f>SUMIFS(tblSalesTransactions[Sales Amount],tblSalesTransactions[Salesperson ID],C45,tblSalesTransactions[Date],"&gt;="&amp;DATE(YEAR(A45),MONTH(A45),1),tblSalesTransactions[Date],"&lt;"&amp;EDATE(A45,1))</f>
        <v>469000</v>
      </c>
      <c r="H45" s="85">
        <f t="shared" si="0"/>
        <v>-1687000</v>
      </c>
      <c r="I45" s="87">
        <f t="shared" si="1"/>
        <v>0.21753246753246752</v>
      </c>
      <c r="J45" s="74" t="str">
        <f>IF(I45&gt;='02_Control_Panel'!$B$8,"Achieved",IF(I45&gt;='02_Control_Panel'!$B$7,"Near Target","Below Target"))</f>
        <v>Below Target</v>
      </c>
    </row>
    <row r="46" spans="1:10">
      <c r="A46" s="8">
        <f t="shared" si="2"/>
        <v>46113</v>
      </c>
      <c r="B46" s="76">
        <f>ROUNDUP(ROWS($B$2:B46)/12,0)</f>
        <v>4</v>
      </c>
      <c r="C46" s="74" t="str">
        <f>"SP"&amp;TEXT(MOD(ROWS($C$2:C46)-1,12)+1,"000")</f>
        <v>SP009</v>
      </c>
      <c r="D46" s="74" t="s">
        <v>36</v>
      </c>
      <c r="E46" s="74" t="s">
        <v>11</v>
      </c>
      <c r="F46" s="86">
        <f>SUMIFS(tblSalesTargets[Target Amount],tblSalesTargets[MonthYear],A46,tblSalesTargets[Salesperson ID],C46)</f>
        <v>2058000</v>
      </c>
      <c r="G46" s="85">
        <f>SUMIFS(tblSalesTransactions[Sales Amount],tblSalesTransactions[Salesperson ID],C46,tblSalesTransactions[Date],"&gt;="&amp;DATE(YEAR(A46),MONTH(A46),1),tblSalesTransactions[Date],"&lt;"&amp;EDATE(A46,1))</f>
        <v>296750</v>
      </c>
      <c r="H46" s="85">
        <f t="shared" si="0"/>
        <v>-1761250</v>
      </c>
      <c r="I46" s="87">
        <f t="shared" si="1"/>
        <v>0.14419339164237124</v>
      </c>
      <c r="J46" s="74" t="str">
        <f>IF(I46&gt;='02_Control_Panel'!$B$8,"Achieved",IF(I46&gt;='02_Control_Panel'!$B$7,"Near Target","Below Target"))</f>
        <v>Below Target</v>
      </c>
    </row>
    <row r="47" spans="1:10">
      <c r="A47" s="8">
        <f t="shared" si="2"/>
        <v>46113</v>
      </c>
      <c r="B47" s="76">
        <f>ROUNDUP(ROWS($B$2:B47)/12,0)</f>
        <v>4</v>
      </c>
      <c r="C47" s="74" t="str">
        <f>"SP"&amp;TEXT(MOD(ROWS($C$2:C47)-1,12)+1,"000")</f>
        <v>SP010</v>
      </c>
      <c r="D47" s="74" t="s">
        <v>44</v>
      </c>
      <c r="E47" s="74" t="s">
        <v>14</v>
      </c>
      <c r="F47" s="86">
        <f>SUMIFS(tblSalesTargets[Target Amount],tblSalesTargets[MonthYear],A47,tblSalesTargets[Salesperson ID],C47)</f>
        <v>2156000</v>
      </c>
      <c r="G47" s="85">
        <f>SUMIFS(tblSalesTransactions[Sales Amount],tblSalesTransactions[Salesperson ID],C47,tblSalesTransactions[Date],"&gt;="&amp;DATE(YEAR(A47),MONTH(A47),1),tblSalesTransactions[Date],"&lt;"&amp;EDATE(A47,1))</f>
        <v>267750</v>
      </c>
      <c r="H47" s="85">
        <f t="shared" si="0"/>
        <v>-1888250</v>
      </c>
      <c r="I47" s="87">
        <f t="shared" si="1"/>
        <v>0.12418831168831169</v>
      </c>
      <c r="J47" s="74" t="str">
        <f>IF(I47&gt;='02_Control_Panel'!$B$8,"Achieved",IF(I47&gt;='02_Control_Panel'!$B$7,"Near Target","Below Target"))</f>
        <v>Below Target</v>
      </c>
    </row>
    <row r="48" spans="1:10">
      <c r="A48" s="8">
        <f t="shared" si="2"/>
        <v>46113</v>
      </c>
      <c r="B48" s="76">
        <f>ROUNDUP(ROWS($B$2:B48)/12,0)</f>
        <v>4</v>
      </c>
      <c r="C48" s="74" t="str">
        <f>"SP"&amp;TEXT(MOD(ROWS($C$2:C48)-1,12)+1,"000")</f>
        <v>SP011</v>
      </c>
      <c r="D48" s="74" t="s">
        <v>44</v>
      </c>
      <c r="E48" s="74" t="s">
        <v>14</v>
      </c>
      <c r="F48" s="86">
        <f>SUMIFS(tblSalesTargets[Target Amount],tblSalesTargets[MonthYear],A48,tblSalesTargets[Salesperson ID],C48)</f>
        <v>1960000</v>
      </c>
      <c r="G48" s="85">
        <f>SUMIFS(tblSalesTransactions[Sales Amount],tblSalesTransactions[Salesperson ID],C48,tblSalesTransactions[Date],"&gt;="&amp;DATE(YEAR(A48),MONTH(A48),1),tblSalesTransactions[Date],"&lt;"&amp;EDATE(A48,1))</f>
        <v>282250</v>
      </c>
      <c r="H48" s="85">
        <f t="shared" si="0"/>
        <v>-1677750</v>
      </c>
      <c r="I48" s="87">
        <f t="shared" si="1"/>
        <v>0.14400510204081632</v>
      </c>
      <c r="J48" s="74" t="str">
        <f>IF(I48&gt;='02_Control_Panel'!$B$8,"Achieved",IF(I48&gt;='02_Control_Panel'!$B$7,"Near Target","Below Target"))</f>
        <v>Below Target</v>
      </c>
    </row>
    <row r="49" spans="1:10">
      <c r="A49" s="8">
        <f t="shared" si="2"/>
        <v>46113</v>
      </c>
      <c r="B49" s="76">
        <f>ROUNDUP(ROWS($B$2:B49)/12,0)</f>
        <v>4</v>
      </c>
      <c r="C49" s="74" t="str">
        <f>"SP"&amp;TEXT(MOD(ROWS($C$2:C49)-1,12)+1,"000")</f>
        <v>SP012</v>
      </c>
      <c r="D49" s="74" t="s">
        <v>44</v>
      </c>
      <c r="E49" s="74" t="s">
        <v>14</v>
      </c>
      <c r="F49" s="86">
        <f>SUMIFS(tblSalesTargets[Target Amount],tblSalesTargets[MonthYear],A49,tblSalesTargets[Salesperson ID],C49)</f>
        <v>1862000</v>
      </c>
      <c r="G49" s="85">
        <f>SUMIFS(tblSalesTransactions[Sales Amount],tblSalesTransactions[Salesperson ID],C49,tblSalesTransactions[Date],"&gt;="&amp;DATE(YEAR(A49),MONTH(A49),1),tblSalesTransactions[Date],"&lt;"&amp;EDATE(A49,1))</f>
        <v>249250</v>
      </c>
      <c r="H49" s="85">
        <f t="shared" si="0"/>
        <v>-1612750</v>
      </c>
      <c r="I49" s="87">
        <f t="shared" si="1"/>
        <v>0.13386143931256714</v>
      </c>
      <c r="J49" s="74" t="str">
        <f>IF(I49&gt;='02_Control_Panel'!$B$8,"Achieved",IF(I49&gt;='02_Control_Panel'!$B$7,"Near Target","Below Target"))</f>
        <v>Below Target</v>
      </c>
    </row>
    <row r="50" spans="1:10">
      <c r="A50" s="8">
        <f t="shared" si="2"/>
        <v>46143</v>
      </c>
      <c r="B50" s="76">
        <f>ROUNDUP(ROWS($B$2:B50)/12,0)</f>
        <v>5</v>
      </c>
      <c r="C50" s="74" t="str">
        <f>"SP"&amp;TEXT(MOD(ROWS($C$2:C50)-1,12)+1,"000")</f>
        <v>SP001</v>
      </c>
      <c r="D50" s="74" t="s">
        <v>20</v>
      </c>
      <c r="E50" s="74" t="s">
        <v>4</v>
      </c>
      <c r="F50" s="86">
        <f>SUMIFS(tblSalesTargets[Target Amount],tblSalesTargets[MonthYear],A50,tblSalesTargets[Salesperson ID],C50)</f>
        <v>2550000</v>
      </c>
      <c r="G50" s="85">
        <f>SUMIFS(tblSalesTransactions[Sales Amount],tblSalesTransactions[Salesperson ID],C50,tblSalesTransactions[Date],"&gt;="&amp;DATE(YEAR(A50),MONTH(A50),1),tblSalesTransactions[Date],"&lt;"&amp;EDATE(A50,1))</f>
        <v>235500</v>
      </c>
      <c r="H50" s="85">
        <f t="shared" si="0"/>
        <v>-2314500</v>
      </c>
      <c r="I50" s="87">
        <f t="shared" si="1"/>
        <v>9.2352941176470582E-2</v>
      </c>
      <c r="J50" s="74" t="str">
        <f>IF(I50&gt;='02_Control_Panel'!$B$8,"Achieved",IF(I50&gt;='02_Control_Panel'!$B$7,"Near Target","Below Target"))</f>
        <v>Below Target</v>
      </c>
    </row>
    <row r="51" spans="1:10">
      <c r="A51" s="8">
        <f t="shared" si="2"/>
        <v>46143</v>
      </c>
      <c r="B51" s="76">
        <f>ROUNDUP(ROWS($B$2:B51)/12,0)</f>
        <v>5</v>
      </c>
      <c r="C51" s="74" t="str">
        <f>"SP"&amp;TEXT(MOD(ROWS($C$2:C51)-1,12)+1,"000")</f>
        <v>SP002</v>
      </c>
      <c r="D51" s="74" t="s">
        <v>20</v>
      </c>
      <c r="E51" s="74" t="s">
        <v>4</v>
      </c>
      <c r="F51" s="86">
        <f>SUMIFS(tblSalesTargets[Target Amount],tblSalesTargets[MonthYear],A51,tblSalesTargets[Salesperson ID],C51)</f>
        <v>2346000</v>
      </c>
      <c r="G51" s="85">
        <f>SUMIFS(tblSalesTransactions[Sales Amount],tblSalesTransactions[Salesperson ID],C51,tblSalesTransactions[Date],"&gt;="&amp;DATE(YEAR(A51),MONTH(A51),1),tblSalesTransactions[Date],"&lt;"&amp;EDATE(A51,1))</f>
        <v>355500</v>
      </c>
      <c r="H51" s="85">
        <f t="shared" si="0"/>
        <v>-1990500</v>
      </c>
      <c r="I51" s="87">
        <f t="shared" si="1"/>
        <v>0.15153452685421995</v>
      </c>
      <c r="J51" s="74" t="str">
        <f>IF(I51&gt;='02_Control_Panel'!$B$8,"Achieved",IF(I51&gt;='02_Control_Panel'!$B$7,"Near Target","Below Target"))</f>
        <v>Below Target</v>
      </c>
    </row>
    <row r="52" spans="1:10">
      <c r="A52" s="8">
        <f t="shared" si="2"/>
        <v>46143</v>
      </c>
      <c r="B52" s="76">
        <f>ROUNDUP(ROWS($B$2:B52)/12,0)</f>
        <v>5</v>
      </c>
      <c r="C52" s="74" t="str">
        <f>"SP"&amp;TEXT(MOD(ROWS($C$2:C52)-1,12)+1,"000")</f>
        <v>SP003</v>
      </c>
      <c r="D52" s="74" t="s">
        <v>20</v>
      </c>
      <c r="E52" s="74" t="s">
        <v>4</v>
      </c>
      <c r="F52" s="86">
        <f>SUMIFS(tblSalesTargets[Target Amount],tblSalesTargets[MonthYear],A52,tblSalesTargets[Salesperson ID],C52)</f>
        <v>2244000</v>
      </c>
      <c r="G52" s="85">
        <f>SUMIFS(tblSalesTransactions[Sales Amount],tblSalesTransactions[Salesperson ID],C52,tblSalesTransactions[Date],"&gt;="&amp;DATE(YEAR(A52),MONTH(A52),1),tblSalesTransactions[Date],"&lt;"&amp;EDATE(A52,1))</f>
        <v>327750</v>
      </c>
      <c r="H52" s="85">
        <f t="shared" si="0"/>
        <v>-1916250</v>
      </c>
      <c r="I52" s="87">
        <f t="shared" si="1"/>
        <v>0.14605614973262032</v>
      </c>
      <c r="J52" s="74" t="str">
        <f>IF(I52&gt;='02_Control_Panel'!$B$8,"Achieved",IF(I52&gt;='02_Control_Panel'!$B$7,"Near Target","Below Target"))</f>
        <v>Below Target</v>
      </c>
    </row>
    <row r="53" spans="1:10">
      <c r="A53" s="8">
        <f t="shared" si="2"/>
        <v>46143</v>
      </c>
      <c r="B53" s="76">
        <f>ROUNDUP(ROWS($B$2:B53)/12,0)</f>
        <v>5</v>
      </c>
      <c r="C53" s="74" t="str">
        <f>"SP"&amp;TEXT(MOD(ROWS($C$2:C53)-1,12)+1,"000")</f>
        <v>SP004</v>
      </c>
      <c r="D53" s="74" t="s">
        <v>28</v>
      </c>
      <c r="E53" s="74" t="s">
        <v>8</v>
      </c>
      <c r="F53" s="86">
        <f>SUMIFS(tblSalesTargets[Target Amount],tblSalesTargets[MonthYear],A53,tblSalesTargets[Salesperson ID],C53)</f>
        <v>2754000</v>
      </c>
      <c r="G53" s="85">
        <f>SUMIFS(tblSalesTransactions[Sales Amount],tblSalesTransactions[Salesperson ID],C53,tblSalesTransactions[Date],"&gt;="&amp;DATE(YEAR(A53),MONTH(A53),1),tblSalesTransactions[Date],"&lt;"&amp;EDATE(A53,1))</f>
        <v>445250</v>
      </c>
      <c r="H53" s="85">
        <f t="shared" si="0"/>
        <v>-2308750</v>
      </c>
      <c r="I53" s="87">
        <f t="shared" si="1"/>
        <v>0.16167392883079157</v>
      </c>
      <c r="J53" s="74" t="str">
        <f>IF(I53&gt;='02_Control_Panel'!$B$8,"Achieved",IF(I53&gt;='02_Control_Panel'!$B$7,"Near Target","Below Target"))</f>
        <v>Below Target</v>
      </c>
    </row>
    <row r="54" spans="1:10">
      <c r="A54" s="8">
        <f t="shared" si="2"/>
        <v>46143</v>
      </c>
      <c r="B54" s="76">
        <f>ROUNDUP(ROWS($B$2:B54)/12,0)</f>
        <v>5</v>
      </c>
      <c r="C54" s="74" t="str">
        <f>"SP"&amp;TEXT(MOD(ROWS($C$2:C54)-1,12)+1,"000")</f>
        <v>SP005</v>
      </c>
      <c r="D54" s="74" t="s">
        <v>28</v>
      </c>
      <c r="E54" s="74" t="s">
        <v>8</v>
      </c>
      <c r="F54" s="86">
        <f>SUMIFS(tblSalesTargets[Target Amount],tblSalesTargets[MonthYear],A54,tblSalesTargets[Salesperson ID],C54)</f>
        <v>2550000</v>
      </c>
      <c r="G54" s="85">
        <f>SUMIFS(tblSalesTransactions[Sales Amount],tblSalesTransactions[Salesperson ID],C54,tblSalesTransactions[Date],"&gt;="&amp;DATE(YEAR(A54),MONTH(A54),1),tblSalesTransactions[Date],"&lt;"&amp;EDATE(A54,1))</f>
        <v>435000</v>
      </c>
      <c r="H54" s="85">
        <f t="shared" si="0"/>
        <v>-2115000</v>
      </c>
      <c r="I54" s="87">
        <f t="shared" si="1"/>
        <v>0.17058823529411765</v>
      </c>
      <c r="J54" s="74" t="str">
        <f>IF(I54&gt;='02_Control_Panel'!$B$8,"Achieved",IF(I54&gt;='02_Control_Panel'!$B$7,"Near Target","Below Target"))</f>
        <v>Below Target</v>
      </c>
    </row>
    <row r="55" spans="1:10">
      <c r="A55" s="8">
        <f t="shared" si="2"/>
        <v>46143</v>
      </c>
      <c r="B55" s="76">
        <f>ROUNDUP(ROWS($B$2:B55)/12,0)</f>
        <v>5</v>
      </c>
      <c r="C55" s="74" t="str">
        <f>"SP"&amp;TEXT(MOD(ROWS($C$2:C55)-1,12)+1,"000")</f>
        <v>SP006</v>
      </c>
      <c r="D55" s="74" t="s">
        <v>28</v>
      </c>
      <c r="E55" s="74" t="s">
        <v>8</v>
      </c>
      <c r="F55" s="86">
        <f>SUMIFS(tblSalesTargets[Target Amount],tblSalesTargets[MonthYear],A55,tblSalesTargets[Salesperson ID],C55)</f>
        <v>2346000</v>
      </c>
      <c r="G55" s="85">
        <f>SUMIFS(tblSalesTransactions[Sales Amount],tblSalesTransactions[Salesperson ID],C55,tblSalesTransactions[Date],"&gt;="&amp;DATE(YEAR(A55),MONTH(A55),1),tblSalesTransactions[Date],"&lt;"&amp;EDATE(A55,1))</f>
        <v>458000</v>
      </c>
      <c r="H55" s="85">
        <f t="shared" si="0"/>
        <v>-1888000</v>
      </c>
      <c r="I55" s="87">
        <f t="shared" si="1"/>
        <v>0.19522591645353793</v>
      </c>
      <c r="J55" s="74" t="str">
        <f>IF(I55&gt;='02_Control_Panel'!$B$8,"Achieved",IF(I55&gt;='02_Control_Panel'!$B$7,"Near Target","Below Target"))</f>
        <v>Below Target</v>
      </c>
    </row>
    <row r="56" spans="1:10">
      <c r="A56" s="8">
        <f t="shared" si="2"/>
        <v>46143</v>
      </c>
      <c r="B56" s="76">
        <f>ROUNDUP(ROWS($B$2:B56)/12,0)</f>
        <v>5</v>
      </c>
      <c r="C56" s="74" t="str">
        <f>"SP"&amp;TEXT(MOD(ROWS($C$2:C56)-1,12)+1,"000")</f>
        <v>SP007</v>
      </c>
      <c r="D56" s="74" t="s">
        <v>36</v>
      </c>
      <c r="E56" s="74" t="s">
        <v>11</v>
      </c>
      <c r="F56" s="86">
        <f>SUMIFS(tblSalesTargets[Target Amount],tblSalesTargets[MonthYear],A56,tblSalesTargets[Salesperson ID],C56)</f>
        <v>2448000</v>
      </c>
      <c r="G56" s="85">
        <f>SUMIFS(tblSalesTransactions[Sales Amount],tblSalesTransactions[Salesperson ID],C56,tblSalesTransactions[Date],"&gt;="&amp;DATE(YEAR(A56),MONTH(A56),1),tblSalesTransactions[Date],"&lt;"&amp;EDATE(A56,1))</f>
        <v>520500</v>
      </c>
      <c r="H56" s="85">
        <f t="shared" si="0"/>
        <v>-1927500</v>
      </c>
      <c r="I56" s="87">
        <f t="shared" si="1"/>
        <v>0.21262254901960784</v>
      </c>
      <c r="J56" s="74" t="str">
        <f>IF(I56&gt;='02_Control_Panel'!$B$8,"Achieved",IF(I56&gt;='02_Control_Panel'!$B$7,"Near Target","Below Target"))</f>
        <v>Below Target</v>
      </c>
    </row>
    <row r="57" spans="1:10">
      <c r="A57" s="8">
        <f t="shared" si="2"/>
        <v>46143</v>
      </c>
      <c r="B57" s="76">
        <f>ROUNDUP(ROWS($B$2:B57)/12,0)</f>
        <v>5</v>
      </c>
      <c r="C57" s="74" t="str">
        <f>"SP"&amp;TEXT(MOD(ROWS($C$2:C57)-1,12)+1,"000")</f>
        <v>SP008</v>
      </c>
      <c r="D57" s="74" t="s">
        <v>36</v>
      </c>
      <c r="E57" s="74" t="s">
        <v>11</v>
      </c>
      <c r="F57" s="86">
        <f>SUMIFS(tblSalesTargets[Target Amount],tblSalesTargets[MonthYear],A57,tblSalesTargets[Salesperson ID],C57)</f>
        <v>2244000</v>
      </c>
      <c r="G57" s="85">
        <f>SUMIFS(tblSalesTransactions[Sales Amount],tblSalesTransactions[Salesperson ID],C57,tblSalesTransactions[Date],"&gt;="&amp;DATE(YEAR(A57),MONTH(A57),1),tblSalesTransactions[Date],"&lt;"&amp;EDATE(A57,1))</f>
        <v>566000</v>
      </c>
      <c r="H57" s="85">
        <f t="shared" si="0"/>
        <v>-1678000</v>
      </c>
      <c r="I57" s="87">
        <f t="shared" si="1"/>
        <v>0.2522281639928699</v>
      </c>
      <c r="J57" s="74" t="str">
        <f>IF(I57&gt;='02_Control_Panel'!$B$8,"Achieved",IF(I57&gt;='02_Control_Panel'!$B$7,"Near Target","Below Target"))</f>
        <v>Below Target</v>
      </c>
    </row>
    <row r="58" spans="1:10">
      <c r="A58" s="8">
        <f t="shared" si="2"/>
        <v>46143</v>
      </c>
      <c r="B58" s="76">
        <f>ROUNDUP(ROWS($B$2:B58)/12,0)</f>
        <v>5</v>
      </c>
      <c r="C58" s="74" t="str">
        <f>"SP"&amp;TEXT(MOD(ROWS($C$2:C58)-1,12)+1,"000")</f>
        <v>SP009</v>
      </c>
      <c r="D58" s="74" t="s">
        <v>36</v>
      </c>
      <c r="E58" s="74" t="s">
        <v>11</v>
      </c>
      <c r="F58" s="86">
        <f>SUMIFS(tblSalesTargets[Target Amount],tblSalesTargets[MonthYear],A58,tblSalesTargets[Salesperson ID],C58)</f>
        <v>2142000</v>
      </c>
      <c r="G58" s="85">
        <f>SUMIFS(tblSalesTransactions[Sales Amount],tblSalesTransactions[Salesperson ID],C58,tblSalesTransactions[Date],"&gt;="&amp;DATE(YEAR(A58),MONTH(A58),1),tblSalesTransactions[Date],"&lt;"&amp;EDATE(A58,1))</f>
        <v>358750</v>
      </c>
      <c r="H58" s="85">
        <f t="shared" si="0"/>
        <v>-1783250</v>
      </c>
      <c r="I58" s="87">
        <f t="shared" si="1"/>
        <v>0.16748366013071894</v>
      </c>
      <c r="J58" s="74" t="str">
        <f>IF(I58&gt;='02_Control_Panel'!$B$8,"Achieved",IF(I58&gt;='02_Control_Panel'!$B$7,"Near Target","Below Target"))</f>
        <v>Below Target</v>
      </c>
    </row>
    <row r="59" spans="1:10">
      <c r="A59" s="8">
        <f t="shared" si="2"/>
        <v>46143</v>
      </c>
      <c r="B59" s="76">
        <f>ROUNDUP(ROWS($B$2:B59)/12,0)</f>
        <v>5</v>
      </c>
      <c r="C59" s="74" t="str">
        <f>"SP"&amp;TEXT(MOD(ROWS($C$2:C59)-1,12)+1,"000")</f>
        <v>SP010</v>
      </c>
      <c r="D59" s="74" t="s">
        <v>44</v>
      </c>
      <c r="E59" s="74" t="s">
        <v>14</v>
      </c>
      <c r="F59" s="86">
        <f>SUMIFS(tblSalesTargets[Target Amount],tblSalesTargets[MonthYear],A59,tblSalesTargets[Salesperson ID],C59)</f>
        <v>2244000</v>
      </c>
      <c r="G59" s="85">
        <f>SUMIFS(tblSalesTransactions[Sales Amount],tblSalesTransactions[Salesperson ID],C59,tblSalesTransactions[Date],"&gt;="&amp;DATE(YEAR(A59),MONTH(A59),1),tblSalesTransactions[Date],"&lt;"&amp;EDATE(A59,1))</f>
        <v>300500</v>
      </c>
      <c r="H59" s="85">
        <f t="shared" si="0"/>
        <v>-1943500</v>
      </c>
      <c r="I59" s="87">
        <f t="shared" si="1"/>
        <v>0.1339126559714795</v>
      </c>
      <c r="J59" s="74" t="str">
        <f>IF(I59&gt;='02_Control_Panel'!$B$8,"Achieved",IF(I59&gt;='02_Control_Panel'!$B$7,"Near Target","Below Target"))</f>
        <v>Below Target</v>
      </c>
    </row>
    <row r="60" spans="1:10">
      <c r="A60" s="8">
        <f t="shared" si="2"/>
        <v>46143</v>
      </c>
      <c r="B60" s="76">
        <f>ROUNDUP(ROWS($B$2:B60)/12,0)</f>
        <v>5</v>
      </c>
      <c r="C60" s="74" t="str">
        <f>"SP"&amp;TEXT(MOD(ROWS($C$2:C60)-1,12)+1,"000")</f>
        <v>SP011</v>
      </c>
      <c r="D60" s="74" t="s">
        <v>44</v>
      </c>
      <c r="E60" s="74" t="s">
        <v>14</v>
      </c>
      <c r="F60" s="86">
        <f>SUMIFS(tblSalesTargets[Target Amount],tblSalesTargets[MonthYear],A60,tblSalesTargets[Salesperson ID],C60)</f>
        <v>2040000</v>
      </c>
      <c r="G60" s="85">
        <f>SUMIFS(tblSalesTransactions[Sales Amount],tblSalesTransactions[Salesperson ID],C60,tblSalesTransactions[Date],"&gt;="&amp;DATE(YEAR(A60),MONTH(A60),1),tblSalesTransactions[Date],"&lt;"&amp;EDATE(A60,1))</f>
        <v>306750</v>
      </c>
      <c r="H60" s="85">
        <f t="shared" si="0"/>
        <v>-1733250</v>
      </c>
      <c r="I60" s="87">
        <f t="shared" si="1"/>
        <v>0.15036764705882352</v>
      </c>
      <c r="J60" s="74" t="str">
        <f>IF(I60&gt;='02_Control_Panel'!$B$8,"Achieved",IF(I60&gt;='02_Control_Panel'!$B$7,"Near Target","Below Target"))</f>
        <v>Below Target</v>
      </c>
    </row>
    <row r="61" spans="1:10">
      <c r="A61" s="8">
        <f t="shared" si="2"/>
        <v>46143</v>
      </c>
      <c r="B61" s="76">
        <f>ROUNDUP(ROWS($B$2:B61)/12,0)</f>
        <v>5</v>
      </c>
      <c r="C61" s="74" t="str">
        <f>"SP"&amp;TEXT(MOD(ROWS($C$2:C61)-1,12)+1,"000")</f>
        <v>SP012</v>
      </c>
      <c r="D61" s="74" t="s">
        <v>44</v>
      </c>
      <c r="E61" s="74" t="s">
        <v>14</v>
      </c>
      <c r="F61" s="86">
        <f>SUMIFS(tblSalesTargets[Target Amount],tblSalesTargets[MonthYear],A61,tblSalesTargets[Salesperson ID],C61)</f>
        <v>1938000</v>
      </c>
      <c r="G61" s="85">
        <f>SUMIFS(tblSalesTransactions[Sales Amount],tblSalesTransactions[Salesperson ID],C61,tblSalesTransactions[Date],"&gt;="&amp;DATE(YEAR(A61),MONTH(A61),1),tblSalesTransactions[Date],"&lt;"&amp;EDATE(A61,1))</f>
        <v>292750</v>
      </c>
      <c r="H61" s="85">
        <f t="shared" si="0"/>
        <v>-1645250</v>
      </c>
      <c r="I61" s="87">
        <f t="shared" si="1"/>
        <v>0.15105779153766768</v>
      </c>
      <c r="J61" s="74" t="str">
        <f>IF(I61&gt;='02_Control_Panel'!$B$8,"Achieved",IF(I61&gt;='02_Control_Panel'!$B$7,"Near Target","Below Target"))</f>
        <v>Below Target</v>
      </c>
    </row>
    <row r="62" spans="1:10">
      <c r="A62" s="8">
        <f t="shared" si="2"/>
        <v>46174</v>
      </c>
      <c r="B62" s="76">
        <f>ROUNDUP(ROWS($B$2:B62)/12,0)</f>
        <v>6</v>
      </c>
      <c r="C62" s="74" t="str">
        <f>"SP"&amp;TEXT(MOD(ROWS($C$2:C62)-1,12)+1,"000")</f>
        <v>SP001</v>
      </c>
      <c r="D62" s="74" t="s">
        <v>20</v>
      </c>
      <c r="E62" s="74" t="s">
        <v>4</v>
      </c>
      <c r="F62" s="86">
        <f>SUMIFS(tblSalesTargets[Target Amount],tblSalesTargets[MonthYear],A62,tblSalesTargets[Salesperson ID],C62)</f>
        <v>2700000</v>
      </c>
      <c r="G62" s="85">
        <f>SUMIFS(tblSalesTransactions[Sales Amount],tblSalesTransactions[Salesperson ID],C62,tblSalesTransactions[Date],"&gt;="&amp;DATE(YEAR(A62),MONTH(A62),1),tblSalesTransactions[Date],"&lt;"&amp;EDATE(A62,1))</f>
        <v>259500</v>
      </c>
      <c r="H62" s="85">
        <f t="shared" si="0"/>
        <v>-2440500</v>
      </c>
      <c r="I62" s="87">
        <f t="shared" si="1"/>
        <v>9.6111111111111105E-2</v>
      </c>
      <c r="J62" s="74" t="str">
        <f>IF(I62&gt;='02_Control_Panel'!$B$8,"Achieved",IF(I62&gt;='02_Control_Panel'!$B$7,"Near Target","Below Target"))</f>
        <v>Below Target</v>
      </c>
    </row>
    <row r="63" spans="1:10">
      <c r="A63" s="8">
        <f t="shared" si="2"/>
        <v>46174</v>
      </c>
      <c r="B63" s="76">
        <f>ROUNDUP(ROWS($B$2:B63)/12,0)</f>
        <v>6</v>
      </c>
      <c r="C63" s="74" t="str">
        <f>"SP"&amp;TEXT(MOD(ROWS($C$2:C63)-1,12)+1,"000")</f>
        <v>SP002</v>
      </c>
      <c r="D63" s="74" t="s">
        <v>20</v>
      </c>
      <c r="E63" s="74" t="s">
        <v>4</v>
      </c>
      <c r="F63" s="86">
        <f>SUMIFS(tblSalesTargets[Target Amount],tblSalesTargets[MonthYear],A63,tblSalesTargets[Salesperson ID],C63)</f>
        <v>2484000</v>
      </c>
      <c r="G63" s="85">
        <f>SUMIFS(tblSalesTransactions[Sales Amount],tblSalesTransactions[Salesperson ID],C63,tblSalesTransactions[Date],"&gt;="&amp;DATE(YEAR(A63),MONTH(A63),1),tblSalesTransactions[Date],"&lt;"&amp;EDATE(A63,1))</f>
        <v>310500</v>
      </c>
      <c r="H63" s="85">
        <f t="shared" si="0"/>
        <v>-2173500</v>
      </c>
      <c r="I63" s="87">
        <f t="shared" si="1"/>
        <v>0.125</v>
      </c>
      <c r="J63" s="74" t="str">
        <f>IF(I63&gt;='02_Control_Panel'!$B$8,"Achieved",IF(I63&gt;='02_Control_Panel'!$B$7,"Near Target","Below Target"))</f>
        <v>Below Target</v>
      </c>
    </row>
    <row r="64" spans="1:10">
      <c r="A64" s="8">
        <f t="shared" si="2"/>
        <v>46174</v>
      </c>
      <c r="B64" s="76">
        <f>ROUNDUP(ROWS($B$2:B64)/12,0)</f>
        <v>6</v>
      </c>
      <c r="C64" s="74" t="str">
        <f>"SP"&amp;TEXT(MOD(ROWS($C$2:C64)-1,12)+1,"000")</f>
        <v>SP003</v>
      </c>
      <c r="D64" s="74" t="s">
        <v>20</v>
      </c>
      <c r="E64" s="74" t="s">
        <v>4</v>
      </c>
      <c r="F64" s="86">
        <f>SUMIFS(tblSalesTargets[Target Amount],tblSalesTargets[MonthYear],A64,tblSalesTargets[Salesperson ID],C64)</f>
        <v>2376000</v>
      </c>
      <c r="G64" s="85">
        <f>SUMIFS(tblSalesTransactions[Sales Amount],tblSalesTransactions[Salesperson ID],C64,tblSalesTransactions[Date],"&gt;="&amp;DATE(YEAR(A64),MONTH(A64),1),tblSalesTransactions[Date],"&lt;"&amp;EDATE(A64,1))</f>
        <v>273000</v>
      </c>
      <c r="H64" s="85">
        <f t="shared" si="0"/>
        <v>-2103000</v>
      </c>
      <c r="I64" s="87">
        <f t="shared" si="1"/>
        <v>0.1148989898989899</v>
      </c>
      <c r="J64" s="74" t="str">
        <f>IF(I64&gt;='02_Control_Panel'!$B$8,"Achieved",IF(I64&gt;='02_Control_Panel'!$B$7,"Near Target","Below Target"))</f>
        <v>Below Target</v>
      </c>
    </row>
    <row r="65" spans="1:10">
      <c r="A65" s="8">
        <f t="shared" si="2"/>
        <v>46174</v>
      </c>
      <c r="B65" s="76">
        <f>ROUNDUP(ROWS($B$2:B65)/12,0)</f>
        <v>6</v>
      </c>
      <c r="C65" s="74" t="str">
        <f>"SP"&amp;TEXT(MOD(ROWS($C$2:C65)-1,12)+1,"000")</f>
        <v>SP004</v>
      </c>
      <c r="D65" s="74" t="s">
        <v>28</v>
      </c>
      <c r="E65" s="74" t="s">
        <v>8</v>
      </c>
      <c r="F65" s="86">
        <f>SUMIFS(tblSalesTargets[Target Amount],tblSalesTargets[MonthYear],A65,tblSalesTargets[Salesperson ID],C65)</f>
        <v>2916000</v>
      </c>
      <c r="G65" s="85">
        <f>SUMIFS(tblSalesTransactions[Sales Amount],tblSalesTransactions[Salesperson ID],C65,tblSalesTransactions[Date],"&gt;="&amp;DATE(YEAR(A65),MONTH(A65),1),tblSalesTransactions[Date],"&lt;"&amp;EDATE(A65,1))</f>
        <v>511000</v>
      </c>
      <c r="H65" s="85">
        <f t="shared" si="0"/>
        <v>-2405000</v>
      </c>
      <c r="I65" s="87">
        <f t="shared" si="1"/>
        <v>0.1752400548696845</v>
      </c>
      <c r="J65" s="74" t="str">
        <f>IF(I65&gt;='02_Control_Panel'!$B$8,"Achieved",IF(I65&gt;='02_Control_Panel'!$B$7,"Near Target","Below Target"))</f>
        <v>Below Target</v>
      </c>
    </row>
    <row r="66" spans="1:10">
      <c r="A66" s="8">
        <f t="shared" si="2"/>
        <v>46174</v>
      </c>
      <c r="B66" s="76">
        <f>ROUNDUP(ROWS($B$2:B66)/12,0)</f>
        <v>6</v>
      </c>
      <c r="C66" s="74" t="str">
        <f>"SP"&amp;TEXT(MOD(ROWS($C$2:C66)-1,12)+1,"000")</f>
        <v>SP005</v>
      </c>
      <c r="D66" s="74" t="s">
        <v>28</v>
      </c>
      <c r="E66" s="74" t="s">
        <v>8</v>
      </c>
      <c r="F66" s="86">
        <f>SUMIFS(tblSalesTargets[Target Amount],tblSalesTargets[MonthYear],A66,tblSalesTargets[Salesperson ID],C66)</f>
        <v>2700000</v>
      </c>
      <c r="G66" s="85">
        <f>SUMIFS(tblSalesTransactions[Sales Amount],tblSalesTransactions[Salesperson ID],C66,tblSalesTransactions[Date],"&gt;="&amp;DATE(YEAR(A66),MONTH(A66),1),tblSalesTransactions[Date],"&lt;"&amp;EDATE(A66,1))</f>
        <v>561000</v>
      </c>
      <c r="H66" s="85">
        <f t="shared" ref="H66:H129" si="3">G66-F66</f>
        <v>-2139000</v>
      </c>
      <c r="I66" s="87">
        <f t="shared" ref="I66:I129" si="4">IFERROR(G66/F66,0)</f>
        <v>0.20777777777777778</v>
      </c>
      <c r="J66" s="74" t="str">
        <f>IF(I66&gt;='02_Control_Panel'!$B$8,"Achieved",IF(I66&gt;='02_Control_Panel'!$B$7,"Near Target","Below Target"))</f>
        <v>Below Target</v>
      </c>
    </row>
    <row r="67" spans="1:10">
      <c r="A67" s="8">
        <f t="shared" si="2"/>
        <v>46174</v>
      </c>
      <c r="B67" s="76">
        <f>ROUNDUP(ROWS($B$2:B67)/12,0)</f>
        <v>6</v>
      </c>
      <c r="C67" s="74" t="str">
        <f>"SP"&amp;TEXT(MOD(ROWS($C$2:C67)-1,12)+1,"000")</f>
        <v>SP006</v>
      </c>
      <c r="D67" s="74" t="s">
        <v>28</v>
      </c>
      <c r="E67" s="74" t="s">
        <v>8</v>
      </c>
      <c r="F67" s="86">
        <f>SUMIFS(tblSalesTargets[Target Amount],tblSalesTargets[MonthYear],A67,tblSalesTargets[Salesperson ID],C67)</f>
        <v>2484000</v>
      </c>
      <c r="G67" s="85">
        <f>SUMIFS(tblSalesTransactions[Sales Amount],tblSalesTransactions[Salesperson ID],C67,tblSalesTransactions[Date],"&gt;="&amp;DATE(YEAR(A67),MONTH(A67),1),tblSalesTransactions[Date],"&lt;"&amp;EDATE(A67,1))</f>
        <v>336750</v>
      </c>
      <c r="H67" s="85">
        <f t="shared" si="3"/>
        <v>-2147250</v>
      </c>
      <c r="I67" s="87">
        <f t="shared" si="4"/>
        <v>0.13556763285024154</v>
      </c>
      <c r="J67" s="74" t="str">
        <f>IF(I67&gt;='02_Control_Panel'!$B$8,"Achieved",IF(I67&gt;='02_Control_Panel'!$B$7,"Near Target","Below Target"))</f>
        <v>Below Target</v>
      </c>
    </row>
    <row r="68" spans="1:10">
      <c r="A68" s="8">
        <f t="shared" si="2"/>
        <v>46174</v>
      </c>
      <c r="B68" s="76">
        <f>ROUNDUP(ROWS($B$2:B68)/12,0)</f>
        <v>6</v>
      </c>
      <c r="C68" s="74" t="str">
        <f>"SP"&amp;TEXT(MOD(ROWS($C$2:C68)-1,12)+1,"000")</f>
        <v>SP007</v>
      </c>
      <c r="D68" s="74" t="s">
        <v>36</v>
      </c>
      <c r="E68" s="74" t="s">
        <v>11</v>
      </c>
      <c r="F68" s="86">
        <f>SUMIFS(tblSalesTargets[Target Amount],tblSalesTargets[MonthYear],A68,tblSalesTargets[Salesperson ID],C68)</f>
        <v>2592000</v>
      </c>
      <c r="G68" s="85">
        <f>SUMIFS(tblSalesTransactions[Sales Amount],tblSalesTransactions[Salesperson ID],C68,tblSalesTransactions[Date],"&gt;="&amp;DATE(YEAR(A68),MONTH(A68),1),tblSalesTransactions[Date],"&lt;"&amp;EDATE(A68,1))</f>
        <v>589500</v>
      </c>
      <c r="H68" s="85">
        <f t="shared" si="3"/>
        <v>-2002500</v>
      </c>
      <c r="I68" s="87">
        <f t="shared" si="4"/>
        <v>0.22743055555555555</v>
      </c>
      <c r="J68" s="74" t="str">
        <f>IF(I68&gt;='02_Control_Panel'!$B$8,"Achieved",IF(I68&gt;='02_Control_Panel'!$B$7,"Near Target","Below Target"))</f>
        <v>Below Target</v>
      </c>
    </row>
    <row r="69" spans="1:10">
      <c r="A69" s="8">
        <f t="shared" ref="A69:A132" si="5">DATE(2026,B69,1)</f>
        <v>46174</v>
      </c>
      <c r="B69" s="76">
        <f>ROUNDUP(ROWS($B$2:B69)/12,0)</f>
        <v>6</v>
      </c>
      <c r="C69" s="74" t="str">
        <f>"SP"&amp;TEXT(MOD(ROWS($C$2:C69)-1,12)+1,"000")</f>
        <v>SP008</v>
      </c>
      <c r="D69" s="74" t="s">
        <v>36</v>
      </c>
      <c r="E69" s="74" t="s">
        <v>11</v>
      </c>
      <c r="F69" s="86">
        <f>SUMIFS(tblSalesTargets[Target Amount],tblSalesTargets[MonthYear],A69,tblSalesTargets[Salesperson ID],C69)</f>
        <v>2376000</v>
      </c>
      <c r="G69" s="85">
        <f>SUMIFS(tblSalesTransactions[Sales Amount],tblSalesTransactions[Salesperson ID],C69,tblSalesTransactions[Date],"&gt;="&amp;DATE(YEAR(A69),MONTH(A69),1),tblSalesTransactions[Date],"&lt;"&amp;EDATE(A69,1))</f>
        <v>593500</v>
      </c>
      <c r="H69" s="85">
        <f t="shared" si="3"/>
        <v>-1782500</v>
      </c>
      <c r="I69" s="87">
        <f t="shared" si="4"/>
        <v>0.24978956228956228</v>
      </c>
      <c r="J69" s="74" t="str">
        <f>IF(I69&gt;='02_Control_Panel'!$B$8,"Achieved",IF(I69&gt;='02_Control_Panel'!$B$7,"Near Target","Below Target"))</f>
        <v>Below Target</v>
      </c>
    </row>
    <row r="70" spans="1:10">
      <c r="A70" s="8">
        <f t="shared" si="5"/>
        <v>46174</v>
      </c>
      <c r="B70" s="76">
        <f>ROUNDUP(ROWS($B$2:B70)/12,0)</f>
        <v>6</v>
      </c>
      <c r="C70" s="74" t="str">
        <f>"SP"&amp;TEXT(MOD(ROWS($C$2:C70)-1,12)+1,"000")</f>
        <v>SP009</v>
      </c>
      <c r="D70" s="74" t="s">
        <v>36</v>
      </c>
      <c r="E70" s="74" t="s">
        <v>11</v>
      </c>
      <c r="F70" s="86">
        <f>SUMIFS(tblSalesTargets[Target Amount],tblSalesTargets[MonthYear],A70,tblSalesTargets[Salesperson ID],C70)</f>
        <v>2268000</v>
      </c>
      <c r="G70" s="85">
        <f>SUMIFS(tblSalesTransactions[Sales Amount],tblSalesTransactions[Salesperson ID],C70,tblSalesTransactions[Date],"&gt;="&amp;DATE(YEAR(A70),MONTH(A70),1),tblSalesTransactions[Date],"&lt;"&amp;EDATE(A70,1))</f>
        <v>340250</v>
      </c>
      <c r="H70" s="85">
        <f t="shared" si="3"/>
        <v>-1927750</v>
      </c>
      <c r="I70" s="87">
        <f t="shared" si="4"/>
        <v>0.15002204585537918</v>
      </c>
      <c r="J70" s="74" t="str">
        <f>IF(I70&gt;='02_Control_Panel'!$B$8,"Achieved",IF(I70&gt;='02_Control_Panel'!$B$7,"Near Target","Below Target"))</f>
        <v>Below Target</v>
      </c>
    </row>
    <row r="71" spans="1:10">
      <c r="A71" s="8">
        <f t="shared" si="5"/>
        <v>46174</v>
      </c>
      <c r="B71" s="76">
        <f>ROUNDUP(ROWS($B$2:B71)/12,0)</f>
        <v>6</v>
      </c>
      <c r="C71" s="74" t="str">
        <f>"SP"&amp;TEXT(MOD(ROWS($C$2:C71)-1,12)+1,"000")</f>
        <v>SP010</v>
      </c>
      <c r="D71" s="74" t="s">
        <v>44</v>
      </c>
      <c r="E71" s="74" t="s">
        <v>14</v>
      </c>
      <c r="F71" s="86">
        <f>SUMIFS(tblSalesTargets[Target Amount],tblSalesTargets[MonthYear],A71,tblSalesTargets[Salesperson ID],C71)</f>
        <v>2376000</v>
      </c>
      <c r="G71" s="85">
        <f>SUMIFS(tblSalesTransactions[Sales Amount],tblSalesTransactions[Salesperson ID],C71,tblSalesTransactions[Date],"&gt;="&amp;DATE(YEAR(A71),MONTH(A71),1),tblSalesTransactions[Date],"&lt;"&amp;EDATE(A71,1))</f>
        <v>317750</v>
      </c>
      <c r="H71" s="85">
        <f t="shared" si="3"/>
        <v>-2058250</v>
      </c>
      <c r="I71" s="87">
        <f t="shared" si="4"/>
        <v>0.13373316498316498</v>
      </c>
      <c r="J71" s="74" t="str">
        <f>IF(I71&gt;='02_Control_Panel'!$B$8,"Achieved",IF(I71&gt;='02_Control_Panel'!$B$7,"Near Target","Below Target"))</f>
        <v>Below Target</v>
      </c>
    </row>
    <row r="72" spans="1:10">
      <c r="A72" s="8">
        <f t="shared" si="5"/>
        <v>46174</v>
      </c>
      <c r="B72" s="76">
        <f>ROUNDUP(ROWS($B$2:B72)/12,0)</f>
        <v>6</v>
      </c>
      <c r="C72" s="74" t="str">
        <f>"SP"&amp;TEXT(MOD(ROWS($C$2:C72)-1,12)+1,"000")</f>
        <v>SP011</v>
      </c>
      <c r="D72" s="74" t="s">
        <v>44</v>
      </c>
      <c r="E72" s="74" t="s">
        <v>14</v>
      </c>
      <c r="F72" s="86">
        <f>SUMIFS(tblSalesTargets[Target Amount],tblSalesTargets[MonthYear],A72,tblSalesTargets[Salesperson ID],C72)</f>
        <v>2160000</v>
      </c>
      <c r="G72" s="85">
        <f>SUMIFS(tblSalesTransactions[Sales Amount],tblSalesTransactions[Salesperson ID],C72,tblSalesTransactions[Date],"&gt;="&amp;DATE(YEAR(A72),MONTH(A72),1),tblSalesTransactions[Date],"&lt;"&amp;EDATE(A72,1))</f>
        <v>331250</v>
      </c>
      <c r="H72" s="85">
        <f t="shared" si="3"/>
        <v>-1828750</v>
      </c>
      <c r="I72" s="87">
        <f t="shared" si="4"/>
        <v>0.15335648148148148</v>
      </c>
      <c r="J72" s="74" t="str">
        <f>IF(I72&gt;='02_Control_Panel'!$B$8,"Achieved",IF(I72&gt;='02_Control_Panel'!$B$7,"Near Target","Below Target"))</f>
        <v>Below Target</v>
      </c>
    </row>
    <row r="73" spans="1:10">
      <c r="A73" s="8">
        <f t="shared" si="5"/>
        <v>46174</v>
      </c>
      <c r="B73" s="76">
        <f>ROUNDUP(ROWS($B$2:B73)/12,0)</f>
        <v>6</v>
      </c>
      <c r="C73" s="74" t="str">
        <f>"SP"&amp;TEXT(MOD(ROWS($C$2:C73)-1,12)+1,"000")</f>
        <v>SP012</v>
      </c>
      <c r="D73" s="74" t="s">
        <v>44</v>
      </c>
      <c r="E73" s="74" t="s">
        <v>14</v>
      </c>
      <c r="F73" s="86">
        <f>SUMIFS(tblSalesTargets[Target Amount],tblSalesTargets[MonthYear],A73,tblSalesTargets[Salesperson ID],C73)</f>
        <v>2052000</v>
      </c>
      <c r="G73" s="85">
        <f>SUMIFS(tblSalesTransactions[Sales Amount],tblSalesTransactions[Salesperson ID],C73,tblSalesTransactions[Date],"&gt;="&amp;DATE(YEAR(A73),MONTH(A73),1),tblSalesTransactions[Date],"&lt;"&amp;EDATE(A73,1))</f>
        <v>305000</v>
      </c>
      <c r="H73" s="85">
        <f t="shared" si="3"/>
        <v>-1747000</v>
      </c>
      <c r="I73" s="87">
        <f t="shared" si="4"/>
        <v>0.14863547758284601</v>
      </c>
      <c r="J73" s="74" t="str">
        <f>IF(I73&gt;='02_Control_Panel'!$B$8,"Achieved",IF(I73&gt;='02_Control_Panel'!$B$7,"Near Target","Below Target"))</f>
        <v>Below Target</v>
      </c>
    </row>
    <row r="74" spans="1:10">
      <c r="A74" s="8">
        <f t="shared" si="5"/>
        <v>46204</v>
      </c>
      <c r="B74" s="76">
        <f>ROUNDUP(ROWS($B$2:B74)/12,0)</f>
        <v>7</v>
      </c>
      <c r="C74" s="74" t="str">
        <f>"SP"&amp;TEXT(MOD(ROWS($C$2:C74)-1,12)+1,"000")</f>
        <v>SP001</v>
      </c>
      <c r="D74" s="74" t="s">
        <v>20</v>
      </c>
      <c r="E74" s="74" t="s">
        <v>4</v>
      </c>
      <c r="F74" s="86">
        <f>SUMIFS(tblSalesTargets[Target Amount],tblSalesTargets[MonthYear],A74,tblSalesTargets[Salesperson ID],C74)</f>
        <v>2600000</v>
      </c>
      <c r="G74" s="85">
        <f>SUMIFS(tblSalesTransactions[Sales Amount],tblSalesTransactions[Salesperson ID],C74,tblSalesTransactions[Date],"&gt;="&amp;DATE(YEAR(A74),MONTH(A74),1),tblSalesTransactions[Date],"&lt;"&amp;EDATE(A74,1))</f>
        <v>234000</v>
      </c>
      <c r="H74" s="85">
        <f t="shared" si="3"/>
        <v>-2366000</v>
      </c>
      <c r="I74" s="87">
        <f t="shared" si="4"/>
        <v>0.09</v>
      </c>
      <c r="J74" s="74" t="str">
        <f>IF(I74&gt;='02_Control_Panel'!$B$8,"Achieved",IF(I74&gt;='02_Control_Panel'!$B$7,"Near Target","Below Target"))</f>
        <v>Below Target</v>
      </c>
    </row>
    <row r="75" spans="1:10">
      <c r="A75" s="8">
        <f t="shared" si="5"/>
        <v>46204</v>
      </c>
      <c r="B75" s="76">
        <f>ROUNDUP(ROWS($B$2:B75)/12,0)</f>
        <v>7</v>
      </c>
      <c r="C75" s="74" t="str">
        <f>"SP"&amp;TEXT(MOD(ROWS($C$2:C75)-1,12)+1,"000")</f>
        <v>SP002</v>
      </c>
      <c r="D75" s="74" t="s">
        <v>20</v>
      </c>
      <c r="E75" s="74" t="s">
        <v>4</v>
      </c>
      <c r="F75" s="86">
        <f>SUMIFS(tblSalesTargets[Target Amount],tblSalesTargets[MonthYear],A75,tblSalesTargets[Salesperson ID],C75)</f>
        <v>2392000</v>
      </c>
      <c r="G75" s="85">
        <f>SUMIFS(tblSalesTransactions[Sales Amount],tblSalesTransactions[Salesperson ID],C75,tblSalesTransactions[Date],"&gt;="&amp;DATE(YEAR(A75),MONTH(A75),1),tblSalesTransactions[Date],"&lt;"&amp;EDATE(A75,1))</f>
        <v>339000</v>
      </c>
      <c r="H75" s="85">
        <f t="shared" si="3"/>
        <v>-2053000</v>
      </c>
      <c r="I75" s="87">
        <f t="shared" si="4"/>
        <v>0.14172240802675584</v>
      </c>
      <c r="J75" s="74" t="str">
        <f>IF(I75&gt;='02_Control_Panel'!$B$8,"Achieved",IF(I75&gt;='02_Control_Panel'!$B$7,"Near Target","Below Target"))</f>
        <v>Below Target</v>
      </c>
    </row>
    <row r="76" spans="1:10">
      <c r="A76" s="8">
        <f t="shared" si="5"/>
        <v>46204</v>
      </c>
      <c r="B76" s="76">
        <f>ROUNDUP(ROWS($B$2:B76)/12,0)</f>
        <v>7</v>
      </c>
      <c r="C76" s="74" t="str">
        <f>"SP"&amp;TEXT(MOD(ROWS($C$2:C76)-1,12)+1,"000")</f>
        <v>SP003</v>
      </c>
      <c r="D76" s="74" t="s">
        <v>20</v>
      </c>
      <c r="E76" s="74" t="s">
        <v>4</v>
      </c>
      <c r="F76" s="86">
        <f>SUMIFS(tblSalesTargets[Target Amount],tblSalesTargets[MonthYear],A76,tblSalesTargets[Salesperson ID],C76)</f>
        <v>2288000</v>
      </c>
      <c r="G76" s="85">
        <f>SUMIFS(tblSalesTransactions[Sales Amount],tblSalesTransactions[Salesperson ID],C76,tblSalesTransactions[Date],"&gt;="&amp;DATE(YEAR(A76),MONTH(A76),1),tblSalesTransactions[Date],"&lt;"&amp;EDATE(A76,1))</f>
        <v>311000</v>
      </c>
      <c r="H76" s="85">
        <f t="shared" si="3"/>
        <v>-1977000</v>
      </c>
      <c r="I76" s="87">
        <f t="shared" si="4"/>
        <v>0.13592657342657344</v>
      </c>
      <c r="J76" s="74" t="str">
        <f>IF(I76&gt;='02_Control_Panel'!$B$8,"Achieved",IF(I76&gt;='02_Control_Panel'!$B$7,"Near Target","Below Target"))</f>
        <v>Below Target</v>
      </c>
    </row>
    <row r="77" spans="1:10">
      <c r="A77" s="8">
        <f t="shared" si="5"/>
        <v>46204</v>
      </c>
      <c r="B77" s="76">
        <f>ROUNDUP(ROWS($B$2:B77)/12,0)</f>
        <v>7</v>
      </c>
      <c r="C77" s="74" t="str">
        <f>"SP"&amp;TEXT(MOD(ROWS($C$2:C77)-1,12)+1,"000")</f>
        <v>SP004</v>
      </c>
      <c r="D77" s="74" t="s">
        <v>28</v>
      </c>
      <c r="E77" s="74" t="s">
        <v>8</v>
      </c>
      <c r="F77" s="86">
        <f>SUMIFS(tblSalesTargets[Target Amount],tblSalesTargets[MonthYear],A77,tblSalesTargets[Salesperson ID],C77)</f>
        <v>2808000</v>
      </c>
      <c r="G77" s="85">
        <f>SUMIFS(tblSalesTransactions[Sales Amount],tblSalesTransactions[Salesperson ID],C77,tblSalesTransactions[Date],"&gt;="&amp;DATE(YEAR(A77),MONTH(A77),1),tblSalesTransactions[Date],"&lt;"&amp;EDATE(A77,1))</f>
        <v>428000</v>
      </c>
      <c r="H77" s="85">
        <f t="shared" si="3"/>
        <v>-2380000</v>
      </c>
      <c r="I77" s="87">
        <f t="shared" si="4"/>
        <v>0.15242165242165243</v>
      </c>
      <c r="J77" s="74" t="str">
        <f>IF(I77&gt;='02_Control_Panel'!$B$8,"Achieved",IF(I77&gt;='02_Control_Panel'!$B$7,"Near Target","Below Target"))</f>
        <v>Below Target</v>
      </c>
    </row>
    <row r="78" spans="1:10">
      <c r="A78" s="8">
        <f t="shared" si="5"/>
        <v>46204</v>
      </c>
      <c r="B78" s="76">
        <f>ROUNDUP(ROWS($B$2:B78)/12,0)</f>
        <v>7</v>
      </c>
      <c r="C78" s="74" t="str">
        <f>"SP"&amp;TEXT(MOD(ROWS($C$2:C78)-1,12)+1,"000")</f>
        <v>SP005</v>
      </c>
      <c r="D78" s="74" t="s">
        <v>28</v>
      </c>
      <c r="E78" s="74" t="s">
        <v>8</v>
      </c>
      <c r="F78" s="86">
        <f>SUMIFS(tblSalesTargets[Target Amount],tblSalesTargets[MonthYear],A78,tblSalesTargets[Salesperson ID],C78)</f>
        <v>2600000</v>
      </c>
      <c r="G78" s="85">
        <f>SUMIFS(tblSalesTransactions[Sales Amount],tblSalesTransactions[Salesperson ID],C78,tblSalesTransactions[Date],"&gt;="&amp;DATE(YEAR(A78),MONTH(A78),1),tblSalesTransactions[Date],"&lt;"&amp;EDATE(A78,1))</f>
        <v>427500</v>
      </c>
      <c r="H78" s="85">
        <f t="shared" si="3"/>
        <v>-2172500</v>
      </c>
      <c r="I78" s="87">
        <f t="shared" si="4"/>
        <v>0.16442307692307692</v>
      </c>
      <c r="J78" s="74" t="str">
        <f>IF(I78&gt;='02_Control_Panel'!$B$8,"Achieved",IF(I78&gt;='02_Control_Panel'!$B$7,"Near Target","Below Target"))</f>
        <v>Below Target</v>
      </c>
    </row>
    <row r="79" spans="1:10">
      <c r="A79" s="8">
        <f t="shared" si="5"/>
        <v>46204</v>
      </c>
      <c r="B79" s="76">
        <f>ROUNDUP(ROWS($B$2:B79)/12,0)</f>
        <v>7</v>
      </c>
      <c r="C79" s="74" t="str">
        <f>"SP"&amp;TEXT(MOD(ROWS($C$2:C79)-1,12)+1,"000")</f>
        <v>SP006</v>
      </c>
      <c r="D79" s="74" t="s">
        <v>28</v>
      </c>
      <c r="E79" s="74" t="s">
        <v>8</v>
      </c>
      <c r="F79" s="86">
        <f>SUMIFS(tblSalesTargets[Target Amount],tblSalesTargets[MonthYear],A79,tblSalesTargets[Salesperson ID],C79)</f>
        <v>2392000</v>
      </c>
      <c r="G79" s="85">
        <f>SUMIFS(tblSalesTransactions[Sales Amount],tblSalesTransactions[Salesperson ID],C79,tblSalesTransactions[Date],"&gt;="&amp;DATE(YEAR(A79),MONTH(A79),1),tblSalesTransactions[Date],"&lt;"&amp;EDATE(A79,1))</f>
        <v>434500</v>
      </c>
      <c r="H79" s="85">
        <f t="shared" si="3"/>
        <v>-1957500</v>
      </c>
      <c r="I79" s="87">
        <f t="shared" si="4"/>
        <v>0.18164715719063546</v>
      </c>
      <c r="J79" s="74" t="str">
        <f>IF(I79&gt;='02_Control_Panel'!$B$8,"Achieved",IF(I79&gt;='02_Control_Panel'!$B$7,"Near Target","Below Target"))</f>
        <v>Below Target</v>
      </c>
    </row>
    <row r="80" spans="1:10">
      <c r="A80" s="8">
        <f t="shared" si="5"/>
        <v>46204</v>
      </c>
      <c r="B80" s="76">
        <f>ROUNDUP(ROWS($B$2:B80)/12,0)</f>
        <v>7</v>
      </c>
      <c r="C80" s="74" t="str">
        <f>"SP"&amp;TEXT(MOD(ROWS($C$2:C80)-1,12)+1,"000")</f>
        <v>SP007</v>
      </c>
      <c r="D80" s="74" t="s">
        <v>36</v>
      </c>
      <c r="E80" s="74" t="s">
        <v>11</v>
      </c>
      <c r="F80" s="86">
        <f>SUMIFS(tblSalesTargets[Target Amount],tblSalesTargets[MonthYear],A80,tblSalesTargets[Salesperson ID],C80)</f>
        <v>2496000</v>
      </c>
      <c r="G80" s="85">
        <f>SUMIFS(tblSalesTransactions[Sales Amount],tblSalesTransactions[Salesperson ID],C80,tblSalesTransactions[Date],"&gt;="&amp;DATE(YEAR(A80),MONTH(A80),1),tblSalesTransactions[Date],"&lt;"&amp;EDATE(A80,1))</f>
        <v>499500</v>
      </c>
      <c r="H80" s="85">
        <f t="shared" si="3"/>
        <v>-1996500</v>
      </c>
      <c r="I80" s="87">
        <f t="shared" si="4"/>
        <v>0.20012019230769232</v>
      </c>
      <c r="J80" s="74" t="str">
        <f>IF(I80&gt;='02_Control_Panel'!$B$8,"Achieved",IF(I80&gt;='02_Control_Panel'!$B$7,"Near Target","Below Target"))</f>
        <v>Below Target</v>
      </c>
    </row>
    <row r="81" spans="1:10">
      <c r="A81" s="8">
        <f t="shared" si="5"/>
        <v>46204</v>
      </c>
      <c r="B81" s="76">
        <f>ROUNDUP(ROWS($B$2:B81)/12,0)</f>
        <v>7</v>
      </c>
      <c r="C81" s="74" t="str">
        <f>"SP"&amp;TEXT(MOD(ROWS($C$2:C81)-1,12)+1,"000")</f>
        <v>SP008</v>
      </c>
      <c r="D81" s="74" t="s">
        <v>36</v>
      </c>
      <c r="E81" s="74" t="s">
        <v>11</v>
      </c>
      <c r="F81" s="86">
        <f>SUMIFS(tblSalesTargets[Target Amount],tblSalesTargets[MonthYear],A81,tblSalesTargets[Salesperson ID],C81)</f>
        <v>2288000</v>
      </c>
      <c r="G81" s="85">
        <f>SUMIFS(tblSalesTransactions[Sales Amount],tblSalesTransactions[Salesperson ID],C81,tblSalesTransactions[Date],"&gt;="&amp;DATE(YEAR(A81),MONTH(A81),1),tblSalesTransactions[Date],"&lt;"&amp;EDATE(A81,1))</f>
        <v>538500</v>
      </c>
      <c r="H81" s="85">
        <f t="shared" si="3"/>
        <v>-1749500</v>
      </c>
      <c r="I81" s="87">
        <f t="shared" si="4"/>
        <v>0.23535839160839161</v>
      </c>
      <c r="J81" s="74" t="str">
        <f>IF(I81&gt;='02_Control_Panel'!$B$8,"Achieved",IF(I81&gt;='02_Control_Panel'!$B$7,"Near Target","Below Target"))</f>
        <v>Below Target</v>
      </c>
    </row>
    <row r="82" spans="1:10">
      <c r="A82" s="8">
        <f t="shared" si="5"/>
        <v>46204</v>
      </c>
      <c r="B82" s="76">
        <f>ROUNDUP(ROWS($B$2:B82)/12,0)</f>
        <v>7</v>
      </c>
      <c r="C82" s="74" t="str">
        <f>"SP"&amp;TEXT(MOD(ROWS($C$2:C82)-1,12)+1,"000")</f>
        <v>SP009</v>
      </c>
      <c r="D82" s="74" t="s">
        <v>36</v>
      </c>
      <c r="E82" s="74" t="s">
        <v>11</v>
      </c>
      <c r="F82" s="86">
        <f>SUMIFS(tblSalesTargets[Target Amount],tblSalesTargets[MonthYear],A82,tblSalesTargets[Salesperson ID],C82)</f>
        <v>2184000</v>
      </c>
      <c r="G82" s="85">
        <f>SUMIFS(tblSalesTransactions[Sales Amount],tblSalesTransactions[Salesperson ID],C82,tblSalesTransactions[Date],"&gt;="&amp;DATE(YEAR(A82),MONTH(A82),1),tblSalesTransactions[Date],"&lt;"&amp;EDATE(A82,1))</f>
        <v>347500</v>
      </c>
      <c r="H82" s="85">
        <f t="shared" si="3"/>
        <v>-1836500</v>
      </c>
      <c r="I82" s="87">
        <f t="shared" si="4"/>
        <v>0.1591117216117216</v>
      </c>
      <c r="J82" s="74" t="str">
        <f>IF(I82&gt;='02_Control_Panel'!$B$8,"Achieved",IF(I82&gt;='02_Control_Panel'!$B$7,"Near Target","Below Target"))</f>
        <v>Below Target</v>
      </c>
    </row>
    <row r="83" spans="1:10">
      <c r="A83" s="8">
        <f t="shared" si="5"/>
        <v>46204</v>
      </c>
      <c r="B83" s="76">
        <f>ROUNDUP(ROWS($B$2:B83)/12,0)</f>
        <v>7</v>
      </c>
      <c r="C83" s="74" t="str">
        <f>"SP"&amp;TEXT(MOD(ROWS($C$2:C83)-1,12)+1,"000")</f>
        <v>SP010</v>
      </c>
      <c r="D83" s="74" t="s">
        <v>44</v>
      </c>
      <c r="E83" s="74" t="s">
        <v>14</v>
      </c>
      <c r="F83" s="86">
        <f>SUMIFS(tblSalesTargets[Target Amount],tblSalesTargets[MonthYear],A83,tblSalesTargets[Salesperson ID],C83)</f>
        <v>2288000</v>
      </c>
      <c r="G83" s="85">
        <f>SUMIFS(tblSalesTransactions[Sales Amount],tblSalesTransactions[Salesperson ID],C83,tblSalesTransactions[Date],"&gt;="&amp;DATE(YEAR(A83),MONTH(A83),1),tblSalesTransactions[Date],"&lt;"&amp;EDATE(A83,1))</f>
        <v>292750</v>
      </c>
      <c r="H83" s="85">
        <f t="shared" si="3"/>
        <v>-1995250</v>
      </c>
      <c r="I83" s="87">
        <f t="shared" si="4"/>
        <v>0.12795017482517482</v>
      </c>
      <c r="J83" s="74" t="str">
        <f>IF(I83&gt;='02_Control_Panel'!$B$8,"Achieved",IF(I83&gt;='02_Control_Panel'!$B$7,"Near Target","Below Target"))</f>
        <v>Below Target</v>
      </c>
    </row>
    <row r="84" spans="1:10">
      <c r="A84" s="8">
        <f t="shared" si="5"/>
        <v>46204</v>
      </c>
      <c r="B84" s="76">
        <f>ROUNDUP(ROWS($B$2:B84)/12,0)</f>
        <v>7</v>
      </c>
      <c r="C84" s="74" t="str">
        <f>"SP"&amp;TEXT(MOD(ROWS($C$2:C84)-1,12)+1,"000")</f>
        <v>SP011</v>
      </c>
      <c r="D84" s="74" t="s">
        <v>44</v>
      </c>
      <c r="E84" s="74" t="s">
        <v>14</v>
      </c>
      <c r="F84" s="86">
        <f>SUMIFS(tblSalesTargets[Target Amount],tblSalesTargets[MonthYear],A84,tblSalesTargets[Salesperson ID],C84)</f>
        <v>2080000</v>
      </c>
      <c r="G84" s="85">
        <f>SUMIFS(tblSalesTransactions[Sales Amount],tblSalesTransactions[Salesperson ID],C84,tblSalesTransactions[Date],"&gt;="&amp;DATE(YEAR(A84),MONTH(A84),1),tblSalesTransactions[Date],"&lt;"&amp;EDATE(A84,1))</f>
        <v>306750</v>
      </c>
      <c r="H84" s="85">
        <f t="shared" si="3"/>
        <v>-1773250</v>
      </c>
      <c r="I84" s="87">
        <f t="shared" si="4"/>
        <v>0.14747596153846154</v>
      </c>
      <c r="J84" s="74" t="str">
        <f>IF(I84&gt;='02_Control_Panel'!$B$8,"Achieved",IF(I84&gt;='02_Control_Panel'!$B$7,"Near Target","Below Target"))</f>
        <v>Below Target</v>
      </c>
    </row>
    <row r="85" spans="1:10">
      <c r="A85" s="8">
        <f t="shared" si="5"/>
        <v>46204</v>
      </c>
      <c r="B85" s="76">
        <f>ROUNDUP(ROWS($B$2:B85)/12,0)</f>
        <v>7</v>
      </c>
      <c r="C85" s="74" t="str">
        <f>"SP"&amp;TEXT(MOD(ROWS($C$2:C85)-1,12)+1,"000")</f>
        <v>SP012</v>
      </c>
      <c r="D85" s="74" t="s">
        <v>44</v>
      </c>
      <c r="E85" s="74" t="s">
        <v>14</v>
      </c>
      <c r="F85" s="86">
        <f>SUMIFS(tblSalesTargets[Target Amount],tblSalesTargets[MonthYear],A85,tblSalesTargets[Salesperson ID],C85)</f>
        <v>1976000</v>
      </c>
      <c r="G85" s="85">
        <f>SUMIFS(tblSalesTransactions[Sales Amount],tblSalesTransactions[Salesperson ID],C85,tblSalesTransactions[Date],"&gt;="&amp;DATE(YEAR(A85),MONTH(A85),1),tblSalesTransactions[Date],"&lt;"&amp;EDATE(A85,1))</f>
        <v>273750</v>
      </c>
      <c r="H85" s="85">
        <f t="shared" si="3"/>
        <v>-1702250</v>
      </c>
      <c r="I85" s="87">
        <f t="shared" si="4"/>
        <v>0.13853744939271256</v>
      </c>
      <c r="J85" s="74" t="str">
        <f>IF(I85&gt;='02_Control_Panel'!$B$8,"Achieved",IF(I85&gt;='02_Control_Panel'!$B$7,"Near Target","Below Target"))</f>
        <v>Below Target</v>
      </c>
    </row>
    <row r="86" spans="1:10">
      <c r="A86" s="8">
        <f t="shared" si="5"/>
        <v>46235</v>
      </c>
      <c r="B86" s="76">
        <f>ROUNDUP(ROWS($B$2:B86)/12,0)</f>
        <v>8</v>
      </c>
      <c r="C86" s="74" t="str">
        <f>"SP"&amp;TEXT(MOD(ROWS($C$2:C86)-1,12)+1,"000")</f>
        <v>SP001</v>
      </c>
      <c r="D86" s="74" t="s">
        <v>20</v>
      </c>
      <c r="E86" s="74" t="s">
        <v>4</v>
      </c>
      <c r="F86" s="86">
        <f>SUMIFS(tblSalesTargets[Target Amount],tblSalesTargets[MonthYear],A86,tblSalesTargets[Salesperson ID],C86)</f>
        <v>2650000</v>
      </c>
      <c r="G86" s="85">
        <f>SUMIFS(tblSalesTransactions[Sales Amount],tblSalesTransactions[Salesperson ID],C86,tblSalesTransactions[Date],"&gt;="&amp;DATE(YEAR(A86),MONTH(A86),1),tblSalesTransactions[Date],"&lt;"&amp;EDATE(A86,1))</f>
        <v>269750</v>
      </c>
      <c r="H86" s="85">
        <f t="shared" si="3"/>
        <v>-2380250</v>
      </c>
      <c r="I86" s="87">
        <f t="shared" si="4"/>
        <v>0.10179245283018867</v>
      </c>
      <c r="J86" s="74" t="str">
        <f>IF(I86&gt;='02_Control_Panel'!$B$8,"Achieved",IF(I86&gt;='02_Control_Panel'!$B$7,"Near Target","Below Target"))</f>
        <v>Below Target</v>
      </c>
    </row>
    <row r="87" spans="1:10">
      <c r="A87" s="8">
        <f t="shared" si="5"/>
        <v>46235</v>
      </c>
      <c r="B87" s="76">
        <f>ROUNDUP(ROWS($B$2:B87)/12,0)</f>
        <v>8</v>
      </c>
      <c r="C87" s="74" t="str">
        <f>"SP"&amp;TEXT(MOD(ROWS($C$2:C87)-1,12)+1,"000")</f>
        <v>SP002</v>
      </c>
      <c r="D87" s="74" t="s">
        <v>20</v>
      </c>
      <c r="E87" s="74" t="s">
        <v>4</v>
      </c>
      <c r="F87" s="86">
        <f>SUMIFS(tblSalesTargets[Target Amount],tblSalesTargets[MonthYear],A87,tblSalesTargets[Salesperson ID],C87)</f>
        <v>2438000</v>
      </c>
      <c r="G87" s="85">
        <f>SUMIFS(tblSalesTransactions[Sales Amount],tblSalesTransactions[Salesperson ID],C87,tblSalesTransactions[Date],"&gt;="&amp;DATE(YEAR(A87),MONTH(A87),1),tblSalesTransactions[Date],"&lt;"&amp;EDATE(A87,1))</f>
        <v>324000</v>
      </c>
      <c r="H87" s="85">
        <f t="shared" si="3"/>
        <v>-2114000</v>
      </c>
      <c r="I87" s="87">
        <f t="shared" si="4"/>
        <v>0.13289581624282198</v>
      </c>
      <c r="J87" s="74" t="str">
        <f>IF(I87&gt;='02_Control_Panel'!$B$8,"Achieved",IF(I87&gt;='02_Control_Panel'!$B$7,"Near Target","Below Target"))</f>
        <v>Below Target</v>
      </c>
    </row>
    <row r="88" spans="1:10">
      <c r="A88" s="8">
        <f t="shared" si="5"/>
        <v>46235</v>
      </c>
      <c r="B88" s="76">
        <f>ROUNDUP(ROWS($B$2:B88)/12,0)</f>
        <v>8</v>
      </c>
      <c r="C88" s="74" t="str">
        <f>"SP"&amp;TEXT(MOD(ROWS($C$2:C88)-1,12)+1,"000")</f>
        <v>SP003</v>
      </c>
      <c r="D88" s="74" t="s">
        <v>20</v>
      </c>
      <c r="E88" s="74" t="s">
        <v>4</v>
      </c>
      <c r="F88" s="86">
        <f>SUMIFS(tblSalesTargets[Target Amount],tblSalesTargets[MonthYear],A88,tblSalesTargets[Salesperson ID],C88)</f>
        <v>2332000</v>
      </c>
      <c r="G88" s="85">
        <f>SUMIFS(tblSalesTransactions[Sales Amount],tblSalesTransactions[Salesperson ID],C88,tblSalesTransactions[Date],"&gt;="&amp;DATE(YEAR(A88),MONTH(A88),1),tblSalesTransactions[Date],"&lt;"&amp;EDATE(A88,1))</f>
        <v>285500</v>
      </c>
      <c r="H88" s="85">
        <f t="shared" si="3"/>
        <v>-2046500</v>
      </c>
      <c r="I88" s="87">
        <f t="shared" si="4"/>
        <v>0.1224271012006861</v>
      </c>
      <c r="J88" s="74" t="str">
        <f>IF(I88&gt;='02_Control_Panel'!$B$8,"Achieved",IF(I88&gt;='02_Control_Panel'!$B$7,"Near Target","Below Target"))</f>
        <v>Below Target</v>
      </c>
    </row>
    <row r="89" spans="1:10">
      <c r="A89" s="8">
        <f t="shared" si="5"/>
        <v>46235</v>
      </c>
      <c r="B89" s="76">
        <f>ROUNDUP(ROWS($B$2:B89)/12,0)</f>
        <v>8</v>
      </c>
      <c r="C89" s="74" t="str">
        <f>"SP"&amp;TEXT(MOD(ROWS($C$2:C89)-1,12)+1,"000")</f>
        <v>SP004</v>
      </c>
      <c r="D89" s="74" t="s">
        <v>28</v>
      </c>
      <c r="E89" s="74" t="s">
        <v>8</v>
      </c>
      <c r="F89" s="86">
        <f>SUMIFS(tblSalesTargets[Target Amount],tblSalesTargets[MonthYear],A89,tblSalesTargets[Salesperson ID],C89)</f>
        <v>2862000</v>
      </c>
      <c r="G89" s="85">
        <f>SUMIFS(tblSalesTransactions[Sales Amount],tblSalesTransactions[Salesperson ID],C89,tblSalesTransactions[Date],"&gt;="&amp;DATE(YEAR(A89),MONTH(A89),1),tblSalesTransactions[Date],"&lt;"&amp;EDATE(A89,1))</f>
        <v>529500</v>
      </c>
      <c r="H89" s="85">
        <f t="shared" si="3"/>
        <v>-2332500</v>
      </c>
      <c r="I89" s="87">
        <f t="shared" si="4"/>
        <v>0.18501048218029351</v>
      </c>
      <c r="J89" s="74" t="str">
        <f>IF(I89&gt;='02_Control_Panel'!$B$8,"Achieved",IF(I89&gt;='02_Control_Panel'!$B$7,"Near Target","Below Target"))</f>
        <v>Below Target</v>
      </c>
    </row>
    <row r="90" spans="1:10">
      <c r="A90" s="8">
        <f t="shared" si="5"/>
        <v>46235</v>
      </c>
      <c r="B90" s="76">
        <f>ROUNDUP(ROWS($B$2:B90)/12,0)</f>
        <v>8</v>
      </c>
      <c r="C90" s="74" t="str">
        <f>"SP"&amp;TEXT(MOD(ROWS($C$2:C90)-1,12)+1,"000")</f>
        <v>SP005</v>
      </c>
      <c r="D90" s="74" t="s">
        <v>28</v>
      </c>
      <c r="E90" s="74" t="s">
        <v>8</v>
      </c>
      <c r="F90" s="86">
        <f>SUMIFS(tblSalesTargets[Target Amount],tblSalesTargets[MonthYear],A90,tblSalesTargets[Salesperson ID],C90)</f>
        <v>2650000</v>
      </c>
      <c r="G90" s="85">
        <f>SUMIFS(tblSalesTransactions[Sales Amount],tblSalesTransactions[Salesperson ID],C90,tblSalesTransactions[Date],"&gt;="&amp;DATE(YEAR(A90),MONTH(A90),1),tblSalesTransactions[Date],"&lt;"&amp;EDATE(A90,1))</f>
        <v>589500</v>
      </c>
      <c r="H90" s="85">
        <f t="shared" si="3"/>
        <v>-2060500</v>
      </c>
      <c r="I90" s="87">
        <f t="shared" si="4"/>
        <v>0.22245283018867926</v>
      </c>
      <c r="J90" s="74" t="str">
        <f>IF(I90&gt;='02_Control_Panel'!$B$8,"Achieved",IF(I90&gt;='02_Control_Panel'!$B$7,"Near Target","Below Target"))</f>
        <v>Below Target</v>
      </c>
    </row>
    <row r="91" spans="1:10">
      <c r="A91" s="8">
        <f t="shared" si="5"/>
        <v>46235</v>
      </c>
      <c r="B91" s="76">
        <f>ROUNDUP(ROWS($B$2:B91)/12,0)</f>
        <v>8</v>
      </c>
      <c r="C91" s="74" t="str">
        <f>"SP"&amp;TEXT(MOD(ROWS($C$2:C91)-1,12)+1,"000")</f>
        <v>SP006</v>
      </c>
      <c r="D91" s="74" t="s">
        <v>28</v>
      </c>
      <c r="E91" s="74" t="s">
        <v>8</v>
      </c>
      <c r="F91" s="86">
        <f>SUMIFS(tblSalesTargets[Target Amount],tblSalesTargets[MonthYear],A91,tblSalesTargets[Salesperson ID],C91)</f>
        <v>2438000</v>
      </c>
      <c r="G91" s="85">
        <f>SUMIFS(tblSalesTransactions[Sales Amount],tblSalesTransactions[Salesperson ID],C91,tblSalesTransactions[Date],"&gt;="&amp;DATE(YEAR(A91),MONTH(A91),1),tblSalesTransactions[Date],"&lt;"&amp;EDATE(A91,1))</f>
        <v>350000</v>
      </c>
      <c r="H91" s="85">
        <f t="shared" si="3"/>
        <v>-2088000</v>
      </c>
      <c r="I91" s="87">
        <f t="shared" si="4"/>
        <v>0.14356029532403611</v>
      </c>
      <c r="J91" s="74" t="str">
        <f>IF(I91&gt;='02_Control_Panel'!$B$8,"Achieved",IF(I91&gt;='02_Control_Panel'!$B$7,"Near Target","Below Target"))</f>
        <v>Below Target</v>
      </c>
    </row>
    <row r="92" spans="1:10">
      <c r="A92" s="8">
        <f t="shared" si="5"/>
        <v>46235</v>
      </c>
      <c r="B92" s="76">
        <f>ROUNDUP(ROWS($B$2:B92)/12,0)</f>
        <v>8</v>
      </c>
      <c r="C92" s="74" t="str">
        <f>"SP"&amp;TEXT(MOD(ROWS($C$2:C92)-1,12)+1,"000")</f>
        <v>SP007</v>
      </c>
      <c r="D92" s="74" t="s">
        <v>36</v>
      </c>
      <c r="E92" s="74" t="s">
        <v>11</v>
      </c>
      <c r="F92" s="86">
        <f>SUMIFS(tblSalesTargets[Target Amount],tblSalesTargets[MonthYear],A92,tblSalesTargets[Salesperson ID],C92)</f>
        <v>2544000</v>
      </c>
      <c r="G92" s="85">
        <f>SUMIFS(tblSalesTransactions[Sales Amount],tblSalesTransactions[Salesperson ID],C92,tblSalesTransactions[Date],"&gt;="&amp;DATE(YEAR(A92),MONTH(A92),1),tblSalesTransactions[Date],"&lt;"&amp;EDATE(A92,1))</f>
        <v>615000</v>
      </c>
      <c r="H92" s="85">
        <f t="shared" si="3"/>
        <v>-1929000</v>
      </c>
      <c r="I92" s="87">
        <f t="shared" si="4"/>
        <v>0.24174528301886791</v>
      </c>
      <c r="J92" s="74" t="str">
        <f>IF(I92&gt;='02_Control_Panel'!$B$8,"Achieved",IF(I92&gt;='02_Control_Panel'!$B$7,"Near Target","Below Target"))</f>
        <v>Below Target</v>
      </c>
    </row>
    <row r="93" spans="1:10">
      <c r="A93" s="8">
        <f t="shared" si="5"/>
        <v>46235</v>
      </c>
      <c r="B93" s="76">
        <f>ROUNDUP(ROWS($B$2:B93)/12,0)</f>
        <v>8</v>
      </c>
      <c r="C93" s="74" t="str">
        <f>"SP"&amp;TEXT(MOD(ROWS($C$2:C93)-1,12)+1,"000")</f>
        <v>SP008</v>
      </c>
      <c r="D93" s="74" t="s">
        <v>36</v>
      </c>
      <c r="E93" s="74" t="s">
        <v>11</v>
      </c>
      <c r="F93" s="86">
        <f>SUMIFS(tblSalesTargets[Target Amount],tblSalesTargets[MonthYear],A93,tblSalesTargets[Salesperson ID],C93)</f>
        <v>2332000</v>
      </c>
      <c r="G93" s="85">
        <f>SUMIFS(tblSalesTransactions[Sales Amount],tblSalesTransactions[Salesperson ID],C93,tblSalesTransactions[Date],"&gt;="&amp;DATE(YEAR(A93),MONTH(A93),1),tblSalesTransactions[Date],"&lt;"&amp;EDATE(A93,1))</f>
        <v>621000</v>
      </c>
      <c r="H93" s="85">
        <f t="shared" si="3"/>
        <v>-1711000</v>
      </c>
      <c r="I93" s="87">
        <f t="shared" si="4"/>
        <v>0.266295025728988</v>
      </c>
      <c r="J93" s="74" t="str">
        <f>IF(I93&gt;='02_Control_Panel'!$B$8,"Achieved",IF(I93&gt;='02_Control_Panel'!$B$7,"Near Target","Below Target"))</f>
        <v>Below Target</v>
      </c>
    </row>
    <row r="94" spans="1:10">
      <c r="A94" s="8">
        <f t="shared" si="5"/>
        <v>46235</v>
      </c>
      <c r="B94" s="76">
        <f>ROUNDUP(ROWS($B$2:B94)/12,0)</f>
        <v>8</v>
      </c>
      <c r="C94" s="74" t="str">
        <f>"SP"&amp;TEXT(MOD(ROWS($C$2:C94)-1,12)+1,"000")</f>
        <v>SP009</v>
      </c>
      <c r="D94" s="74" t="s">
        <v>36</v>
      </c>
      <c r="E94" s="74" t="s">
        <v>11</v>
      </c>
      <c r="F94" s="86">
        <f>SUMIFS(tblSalesTargets[Target Amount],tblSalesTargets[MonthYear],A94,tblSalesTargets[Salesperson ID],C94)</f>
        <v>2226000</v>
      </c>
      <c r="G94" s="85">
        <f>SUMIFS(tblSalesTransactions[Sales Amount],tblSalesTransactions[Salesperson ID],C94,tblSalesTransactions[Date],"&gt;="&amp;DATE(YEAR(A94),MONTH(A94),1),tblSalesTransactions[Date],"&lt;"&amp;EDATE(A94,1))</f>
        <v>356250</v>
      </c>
      <c r="H94" s="85">
        <f t="shared" si="3"/>
        <v>-1869750</v>
      </c>
      <c r="I94" s="87">
        <f t="shared" si="4"/>
        <v>0.16004043126684636</v>
      </c>
      <c r="J94" s="74" t="str">
        <f>IF(I94&gt;='02_Control_Panel'!$B$8,"Achieved",IF(I94&gt;='02_Control_Panel'!$B$7,"Near Target","Below Target"))</f>
        <v>Below Target</v>
      </c>
    </row>
    <row r="95" spans="1:10">
      <c r="A95" s="8">
        <f t="shared" si="5"/>
        <v>46235</v>
      </c>
      <c r="B95" s="76">
        <f>ROUNDUP(ROWS($B$2:B95)/12,0)</f>
        <v>8</v>
      </c>
      <c r="C95" s="74" t="str">
        <f>"SP"&amp;TEXT(MOD(ROWS($C$2:C95)-1,12)+1,"000")</f>
        <v>SP010</v>
      </c>
      <c r="D95" s="74" t="s">
        <v>44</v>
      </c>
      <c r="E95" s="74" t="s">
        <v>14</v>
      </c>
      <c r="F95" s="86">
        <f>SUMIFS(tblSalesTargets[Target Amount],tblSalesTargets[MonthYear],A95,tblSalesTargets[Salesperson ID],C95)</f>
        <v>2332000</v>
      </c>
      <c r="G95" s="85">
        <f>SUMIFS(tblSalesTransactions[Sales Amount],tblSalesTransactions[Salesperson ID],C95,tblSalesTransactions[Date],"&gt;="&amp;DATE(YEAR(A95),MONTH(A95),1),tblSalesTransactions[Date],"&lt;"&amp;EDATE(A95,1))</f>
        <v>330250</v>
      </c>
      <c r="H95" s="85">
        <f t="shared" si="3"/>
        <v>-2001750</v>
      </c>
      <c r="I95" s="87">
        <f t="shared" si="4"/>
        <v>0.14161663807890223</v>
      </c>
      <c r="J95" s="74" t="str">
        <f>IF(I95&gt;='02_Control_Panel'!$B$8,"Achieved",IF(I95&gt;='02_Control_Panel'!$B$7,"Near Target","Below Target"))</f>
        <v>Below Target</v>
      </c>
    </row>
    <row r="96" spans="1:10">
      <c r="A96" s="8">
        <f t="shared" si="5"/>
        <v>46235</v>
      </c>
      <c r="B96" s="76">
        <f>ROUNDUP(ROWS($B$2:B96)/12,0)</f>
        <v>8</v>
      </c>
      <c r="C96" s="74" t="str">
        <f>"SP"&amp;TEXT(MOD(ROWS($C$2:C96)-1,12)+1,"000")</f>
        <v>SP011</v>
      </c>
      <c r="D96" s="74" t="s">
        <v>44</v>
      </c>
      <c r="E96" s="74" t="s">
        <v>14</v>
      </c>
      <c r="F96" s="86">
        <f>SUMIFS(tblSalesTargets[Target Amount],tblSalesTargets[MonthYear],A96,tblSalesTargets[Salesperson ID],C96)</f>
        <v>2120000</v>
      </c>
      <c r="G96" s="85">
        <f>SUMIFS(tblSalesTransactions[Sales Amount],tblSalesTransactions[Salesperson ID],C96,tblSalesTransactions[Date],"&gt;="&amp;DATE(YEAR(A96),MONTH(A96),1),tblSalesTransactions[Date],"&lt;"&amp;EDATE(A96,1))</f>
        <v>343500</v>
      </c>
      <c r="H96" s="85">
        <f t="shared" si="3"/>
        <v>-1776500</v>
      </c>
      <c r="I96" s="87">
        <f t="shared" si="4"/>
        <v>0.16202830188679246</v>
      </c>
      <c r="J96" s="74" t="str">
        <f>IF(I96&gt;='02_Control_Panel'!$B$8,"Achieved",IF(I96&gt;='02_Control_Panel'!$B$7,"Near Target","Below Target"))</f>
        <v>Below Target</v>
      </c>
    </row>
    <row r="97" spans="1:10">
      <c r="A97" s="8">
        <f t="shared" si="5"/>
        <v>46235</v>
      </c>
      <c r="B97" s="76">
        <f>ROUNDUP(ROWS($B$2:B97)/12,0)</f>
        <v>8</v>
      </c>
      <c r="C97" s="74" t="str">
        <f>"SP"&amp;TEXT(MOD(ROWS($C$2:C97)-1,12)+1,"000")</f>
        <v>SP012</v>
      </c>
      <c r="D97" s="74" t="s">
        <v>44</v>
      </c>
      <c r="E97" s="74" t="s">
        <v>14</v>
      </c>
      <c r="F97" s="86">
        <f>SUMIFS(tblSalesTargets[Target Amount],tblSalesTargets[MonthYear],A97,tblSalesTargets[Salesperson ID],C97)</f>
        <v>2014000</v>
      </c>
      <c r="G97" s="85">
        <f>SUMIFS(tblSalesTransactions[Sales Amount],tblSalesTransactions[Salesperson ID],C97,tblSalesTransactions[Date],"&gt;="&amp;DATE(YEAR(A97),MONTH(A97),1),tblSalesTransactions[Date],"&lt;"&amp;EDATE(A97,1))</f>
        <v>317250</v>
      </c>
      <c r="H97" s="85">
        <f t="shared" si="3"/>
        <v>-1696750</v>
      </c>
      <c r="I97" s="87">
        <f t="shared" si="4"/>
        <v>0.15752234359483613</v>
      </c>
      <c r="J97" s="74" t="str">
        <f>IF(I97&gt;='02_Control_Panel'!$B$8,"Achieved",IF(I97&gt;='02_Control_Panel'!$B$7,"Near Target","Below Target"))</f>
        <v>Below Target</v>
      </c>
    </row>
    <row r="98" spans="1:10">
      <c r="A98" s="8">
        <f t="shared" si="5"/>
        <v>46266</v>
      </c>
      <c r="B98" s="76">
        <f>ROUNDUP(ROWS($B$2:B98)/12,0)</f>
        <v>9</v>
      </c>
      <c r="C98" s="74" t="str">
        <f>"SP"&amp;TEXT(MOD(ROWS($C$2:C98)-1,12)+1,"000")</f>
        <v>SP001</v>
      </c>
      <c r="D98" s="74" t="s">
        <v>20</v>
      </c>
      <c r="E98" s="74" t="s">
        <v>4</v>
      </c>
      <c r="F98" s="86">
        <f>SUMIFS(tblSalesTargets[Target Amount],tblSalesTargets[MonthYear],A98,tblSalesTargets[Salesperson ID],C98)</f>
        <v>2675000</v>
      </c>
      <c r="G98" s="85">
        <f>SUMIFS(tblSalesTransactions[Sales Amount],tblSalesTransactions[Salesperson ID],C98,tblSalesTransactions[Date],"&gt;="&amp;DATE(YEAR(A98),MONTH(A98),1),tblSalesTransactions[Date],"&lt;"&amp;EDATE(A98,1))</f>
        <v>274000</v>
      </c>
      <c r="H98" s="85">
        <f t="shared" si="3"/>
        <v>-2401000</v>
      </c>
      <c r="I98" s="87">
        <f t="shared" si="4"/>
        <v>0.10242990654205608</v>
      </c>
      <c r="J98" s="74" t="str">
        <f>IF(I98&gt;='02_Control_Panel'!$B$8,"Achieved",IF(I98&gt;='02_Control_Panel'!$B$7,"Near Target","Below Target"))</f>
        <v>Below Target</v>
      </c>
    </row>
    <row r="99" spans="1:10">
      <c r="A99" s="8">
        <f t="shared" si="5"/>
        <v>46266</v>
      </c>
      <c r="B99" s="76">
        <f>ROUNDUP(ROWS($B$2:B99)/12,0)</f>
        <v>9</v>
      </c>
      <c r="C99" s="74" t="str">
        <f>"SP"&amp;TEXT(MOD(ROWS($C$2:C99)-1,12)+1,"000")</f>
        <v>SP002</v>
      </c>
      <c r="D99" s="74" t="s">
        <v>20</v>
      </c>
      <c r="E99" s="74" t="s">
        <v>4</v>
      </c>
      <c r="F99" s="86">
        <f>SUMIFS(tblSalesTargets[Target Amount],tblSalesTargets[MonthYear],A99,tblSalesTargets[Salesperson ID],C99)</f>
        <v>2461000</v>
      </c>
      <c r="G99" s="85">
        <f>SUMIFS(tblSalesTransactions[Sales Amount],tblSalesTransactions[Salesperson ID],C99,tblSalesTransactions[Date],"&gt;="&amp;DATE(YEAR(A99),MONTH(A99),1),tblSalesTransactions[Date],"&lt;"&amp;EDATE(A99,1))</f>
        <v>397500</v>
      </c>
      <c r="H99" s="85">
        <f t="shared" si="3"/>
        <v>-2063500</v>
      </c>
      <c r="I99" s="87">
        <f t="shared" si="4"/>
        <v>0.16151970743600164</v>
      </c>
      <c r="J99" s="74" t="str">
        <f>IF(I99&gt;='02_Control_Panel'!$B$8,"Achieved",IF(I99&gt;='02_Control_Panel'!$B$7,"Near Target","Below Target"))</f>
        <v>Below Target</v>
      </c>
    </row>
    <row r="100" spans="1:10">
      <c r="A100" s="8">
        <f t="shared" si="5"/>
        <v>46266</v>
      </c>
      <c r="B100" s="76">
        <f>ROUNDUP(ROWS($B$2:B100)/12,0)</f>
        <v>9</v>
      </c>
      <c r="C100" s="74" t="str">
        <f>"SP"&amp;TEXT(MOD(ROWS($C$2:C100)-1,12)+1,"000")</f>
        <v>SP003</v>
      </c>
      <c r="D100" s="74" t="s">
        <v>20</v>
      </c>
      <c r="E100" s="74" t="s">
        <v>4</v>
      </c>
      <c r="F100" s="86">
        <f>SUMIFS(tblSalesTargets[Target Amount],tblSalesTargets[MonthYear],A100,tblSalesTargets[Salesperson ID],C100)</f>
        <v>2354000</v>
      </c>
      <c r="G100" s="85">
        <f>SUMIFS(tblSalesTransactions[Sales Amount],tblSalesTransactions[Salesperson ID],C100,tblSalesTransactions[Date],"&gt;="&amp;DATE(YEAR(A100),MONTH(A100),1),tblSalesTransactions[Date],"&lt;"&amp;EDATE(A100,1))</f>
        <v>366250</v>
      </c>
      <c r="H100" s="85">
        <f t="shared" si="3"/>
        <v>-1987750</v>
      </c>
      <c r="I100" s="87">
        <f t="shared" si="4"/>
        <v>0.15558623619371284</v>
      </c>
      <c r="J100" s="74" t="str">
        <f>IF(I100&gt;='02_Control_Panel'!$B$8,"Achieved",IF(I100&gt;='02_Control_Panel'!$B$7,"Near Target","Below Target"))</f>
        <v>Below Target</v>
      </c>
    </row>
    <row r="101" spans="1:10">
      <c r="A101" s="8">
        <f t="shared" si="5"/>
        <v>46266</v>
      </c>
      <c r="B101" s="76">
        <f>ROUNDUP(ROWS($B$2:B101)/12,0)</f>
        <v>9</v>
      </c>
      <c r="C101" s="74" t="str">
        <f>"SP"&amp;TEXT(MOD(ROWS($C$2:C101)-1,12)+1,"000")</f>
        <v>SP004</v>
      </c>
      <c r="D101" s="74" t="s">
        <v>28</v>
      </c>
      <c r="E101" s="74" t="s">
        <v>8</v>
      </c>
      <c r="F101" s="86">
        <f>SUMIFS(tblSalesTargets[Target Amount],tblSalesTargets[MonthYear],A101,tblSalesTargets[Salesperson ID],C101)</f>
        <v>2889000</v>
      </c>
      <c r="G101" s="85">
        <f>SUMIFS(tblSalesTransactions[Sales Amount],tblSalesTransactions[Salesperson ID],C101,tblSalesTransactions[Date],"&gt;="&amp;DATE(YEAR(A101),MONTH(A101),1),tblSalesTransactions[Date],"&lt;"&amp;EDATE(A101,1))</f>
        <v>508000</v>
      </c>
      <c r="H101" s="85">
        <f t="shared" si="3"/>
        <v>-2381000</v>
      </c>
      <c r="I101" s="87">
        <f t="shared" si="4"/>
        <v>0.17583939079266181</v>
      </c>
      <c r="J101" s="74" t="str">
        <f>IF(I101&gt;='02_Control_Panel'!$B$8,"Achieved",IF(I101&gt;='02_Control_Panel'!$B$7,"Near Target","Below Target"))</f>
        <v>Below Target</v>
      </c>
    </row>
    <row r="102" spans="1:10">
      <c r="A102" s="8">
        <f t="shared" si="5"/>
        <v>46266</v>
      </c>
      <c r="B102" s="76">
        <f>ROUNDUP(ROWS($B$2:B102)/12,0)</f>
        <v>9</v>
      </c>
      <c r="C102" s="74" t="str">
        <f>"SP"&amp;TEXT(MOD(ROWS($C$2:C102)-1,12)+1,"000")</f>
        <v>SP005</v>
      </c>
      <c r="D102" s="74" t="s">
        <v>28</v>
      </c>
      <c r="E102" s="74" t="s">
        <v>8</v>
      </c>
      <c r="F102" s="86">
        <f>SUMIFS(tblSalesTargets[Target Amount],tblSalesTargets[MonthYear],A102,tblSalesTargets[Salesperson ID],C102)</f>
        <v>2675000</v>
      </c>
      <c r="G102" s="85">
        <f>SUMIFS(tblSalesTransactions[Sales Amount],tblSalesTransactions[Salesperson ID],C102,tblSalesTransactions[Date],"&gt;="&amp;DATE(YEAR(A102),MONTH(A102),1),tblSalesTransactions[Date],"&lt;"&amp;EDATE(A102,1))</f>
        <v>490500</v>
      </c>
      <c r="H102" s="85">
        <f t="shared" si="3"/>
        <v>-2184500</v>
      </c>
      <c r="I102" s="87">
        <f t="shared" si="4"/>
        <v>0.18336448598130842</v>
      </c>
      <c r="J102" s="74" t="str">
        <f>IF(I102&gt;='02_Control_Panel'!$B$8,"Achieved",IF(I102&gt;='02_Control_Panel'!$B$7,"Near Target","Below Target"))</f>
        <v>Below Target</v>
      </c>
    </row>
    <row r="103" spans="1:10">
      <c r="A103" s="8">
        <f t="shared" si="5"/>
        <v>46266</v>
      </c>
      <c r="B103" s="76">
        <f>ROUNDUP(ROWS($B$2:B103)/12,0)</f>
        <v>9</v>
      </c>
      <c r="C103" s="74" t="str">
        <f>"SP"&amp;TEXT(MOD(ROWS($C$2:C103)-1,12)+1,"000")</f>
        <v>SP006</v>
      </c>
      <c r="D103" s="74" t="s">
        <v>28</v>
      </c>
      <c r="E103" s="74" t="s">
        <v>8</v>
      </c>
      <c r="F103" s="86">
        <f>SUMIFS(tblSalesTargets[Target Amount],tblSalesTargets[MonthYear],A103,tblSalesTargets[Salesperson ID],C103)</f>
        <v>2461000</v>
      </c>
      <c r="G103" s="85">
        <f>SUMIFS(tblSalesTransactions[Sales Amount],tblSalesTransactions[Salesperson ID],C103,tblSalesTransactions[Date],"&gt;="&amp;DATE(YEAR(A103),MONTH(A103),1),tblSalesTransactions[Date],"&lt;"&amp;EDATE(A103,1))</f>
        <v>512000</v>
      </c>
      <c r="H103" s="85">
        <f t="shared" si="3"/>
        <v>-1949000</v>
      </c>
      <c r="I103" s="87">
        <f t="shared" si="4"/>
        <v>0.20804550995530272</v>
      </c>
      <c r="J103" s="74" t="str">
        <f>IF(I103&gt;='02_Control_Panel'!$B$8,"Achieved",IF(I103&gt;='02_Control_Panel'!$B$7,"Near Target","Below Target"))</f>
        <v>Below Target</v>
      </c>
    </row>
    <row r="104" spans="1:10">
      <c r="A104" s="8">
        <f t="shared" si="5"/>
        <v>46266</v>
      </c>
      <c r="B104" s="76">
        <f>ROUNDUP(ROWS($B$2:B104)/12,0)</f>
        <v>9</v>
      </c>
      <c r="C104" s="74" t="str">
        <f>"SP"&amp;TEXT(MOD(ROWS($C$2:C104)-1,12)+1,"000")</f>
        <v>SP007</v>
      </c>
      <c r="D104" s="74" t="s">
        <v>36</v>
      </c>
      <c r="E104" s="74" t="s">
        <v>11</v>
      </c>
      <c r="F104" s="86">
        <f>SUMIFS(tblSalesTargets[Target Amount],tblSalesTargets[MonthYear],A104,tblSalesTargets[Salesperson ID],C104)</f>
        <v>2568000</v>
      </c>
      <c r="G104" s="85">
        <f>SUMIFS(tblSalesTransactions[Sales Amount],tblSalesTransactions[Salesperson ID],C104,tblSalesTransactions[Date],"&gt;="&amp;DATE(YEAR(A104),MONTH(A104),1),tblSalesTransactions[Date],"&lt;"&amp;EDATE(A104,1))</f>
        <v>585000</v>
      </c>
      <c r="H104" s="85">
        <f t="shared" si="3"/>
        <v>-1983000</v>
      </c>
      <c r="I104" s="87">
        <f t="shared" si="4"/>
        <v>0.22780373831775702</v>
      </c>
      <c r="J104" s="74" t="str">
        <f>IF(I104&gt;='02_Control_Panel'!$B$8,"Achieved",IF(I104&gt;='02_Control_Panel'!$B$7,"Near Target","Below Target"))</f>
        <v>Below Target</v>
      </c>
    </row>
    <row r="105" spans="1:10">
      <c r="A105" s="8">
        <f t="shared" si="5"/>
        <v>46266</v>
      </c>
      <c r="B105" s="76">
        <f>ROUNDUP(ROWS($B$2:B105)/12,0)</f>
        <v>9</v>
      </c>
      <c r="C105" s="74" t="str">
        <f>"SP"&amp;TEXT(MOD(ROWS($C$2:C105)-1,12)+1,"000")</f>
        <v>SP008</v>
      </c>
      <c r="D105" s="74" t="s">
        <v>36</v>
      </c>
      <c r="E105" s="74" t="s">
        <v>11</v>
      </c>
      <c r="F105" s="86">
        <f>SUMIFS(tblSalesTargets[Target Amount],tblSalesTargets[MonthYear],A105,tblSalesTargets[Salesperson ID],C105)</f>
        <v>2354000</v>
      </c>
      <c r="G105" s="85">
        <f>SUMIFS(tblSalesTransactions[Sales Amount],tblSalesTransactions[Salesperson ID],C105,tblSalesTransactions[Date],"&gt;="&amp;DATE(YEAR(A105),MONTH(A105),1),tblSalesTransactions[Date],"&lt;"&amp;EDATE(A105,1))</f>
        <v>648500</v>
      </c>
      <c r="H105" s="85">
        <f t="shared" si="3"/>
        <v>-1705500</v>
      </c>
      <c r="I105" s="87">
        <f t="shared" si="4"/>
        <v>0.27548853016142738</v>
      </c>
      <c r="J105" s="74" t="str">
        <f>IF(I105&gt;='02_Control_Panel'!$B$8,"Achieved",IF(I105&gt;='02_Control_Panel'!$B$7,"Near Target","Below Target"))</f>
        <v>Below Target</v>
      </c>
    </row>
    <row r="106" spans="1:10">
      <c r="A106" s="8">
        <f t="shared" si="5"/>
        <v>46266</v>
      </c>
      <c r="B106" s="76">
        <f>ROUNDUP(ROWS($B$2:B106)/12,0)</f>
        <v>9</v>
      </c>
      <c r="C106" s="74" t="str">
        <f>"SP"&amp;TEXT(MOD(ROWS($C$2:C106)-1,12)+1,"000")</f>
        <v>SP009</v>
      </c>
      <c r="D106" s="74" t="s">
        <v>36</v>
      </c>
      <c r="E106" s="74" t="s">
        <v>11</v>
      </c>
      <c r="F106" s="86">
        <f>SUMIFS(tblSalesTargets[Target Amount],tblSalesTargets[MonthYear],A106,tblSalesTargets[Salesperson ID],C106)</f>
        <v>2247000</v>
      </c>
      <c r="G106" s="85">
        <f>SUMIFS(tblSalesTransactions[Sales Amount],tblSalesTransactions[Salesperson ID],C106,tblSalesTransactions[Date],"&gt;="&amp;DATE(YEAR(A106),MONTH(A106),1),tblSalesTransactions[Date],"&lt;"&amp;EDATE(A106,1))</f>
        <v>381000</v>
      </c>
      <c r="H106" s="85">
        <f t="shared" si="3"/>
        <v>-1866000</v>
      </c>
      <c r="I106" s="87">
        <f t="shared" si="4"/>
        <v>0.16955941255006676</v>
      </c>
      <c r="J106" s="74" t="str">
        <f>IF(I106&gt;='02_Control_Panel'!$B$8,"Achieved",IF(I106&gt;='02_Control_Panel'!$B$7,"Near Target","Below Target"))</f>
        <v>Below Target</v>
      </c>
    </row>
    <row r="107" spans="1:10">
      <c r="A107" s="8">
        <f t="shared" si="5"/>
        <v>46266</v>
      </c>
      <c r="B107" s="76">
        <f>ROUNDUP(ROWS($B$2:B107)/12,0)</f>
        <v>9</v>
      </c>
      <c r="C107" s="74" t="str">
        <f>"SP"&amp;TEXT(MOD(ROWS($C$2:C107)-1,12)+1,"000")</f>
        <v>SP010</v>
      </c>
      <c r="D107" s="74" t="s">
        <v>44</v>
      </c>
      <c r="E107" s="74" t="s">
        <v>14</v>
      </c>
      <c r="F107" s="86">
        <f>SUMIFS(tblSalesTargets[Target Amount],tblSalesTargets[MonthYear],A107,tblSalesTargets[Salesperson ID],C107)</f>
        <v>2354000</v>
      </c>
      <c r="G107" s="85">
        <f>SUMIFS(tblSalesTransactions[Sales Amount],tblSalesTransactions[Salesperson ID],C107,tblSalesTransactions[Date],"&gt;="&amp;DATE(YEAR(A107),MONTH(A107),1),tblSalesTransactions[Date],"&lt;"&amp;EDATE(A107,1))</f>
        <v>342750</v>
      </c>
      <c r="H107" s="85">
        <f t="shared" si="3"/>
        <v>-2011250</v>
      </c>
      <c r="I107" s="87">
        <f t="shared" si="4"/>
        <v>0.14560322854715377</v>
      </c>
      <c r="J107" s="74" t="str">
        <f>IF(I107&gt;='02_Control_Panel'!$B$8,"Achieved",IF(I107&gt;='02_Control_Panel'!$B$7,"Near Target","Below Target"))</f>
        <v>Below Target</v>
      </c>
    </row>
    <row r="108" spans="1:10">
      <c r="A108" s="8">
        <f t="shared" si="5"/>
        <v>46266</v>
      </c>
      <c r="B108" s="76">
        <f>ROUNDUP(ROWS($B$2:B108)/12,0)</f>
        <v>9</v>
      </c>
      <c r="C108" s="74" t="str">
        <f>"SP"&amp;TEXT(MOD(ROWS($C$2:C108)-1,12)+1,"000")</f>
        <v>SP011</v>
      </c>
      <c r="D108" s="74" t="s">
        <v>44</v>
      </c>
      <c r="E108" s="74" t="s">
        <v>14</v>
      </c>
      <c r="F108" s="86">
        <f>SUMIFS(tblSalesTargets[Target Amount],tblSalesTargets[MonthYear],A108,tblSalesTargets[Salesperson ID],C108)</f>
        <v>2140000</v>
      </c>
      <c r="G108" s="85">
        <f>SUMIFS(tblSalesTransactions[Sales Amount],tblSalesTransactions[Salesperson ID],C108,tblSalesTransactions[Date],"&gt;="&amp;DATE(YEAR(A108),MONTH(A108),1),tblSalesTransactions[Date],"&lt;"&amp;EDATE(A108,1))</f>
        <v>355750</v>
      </c>
      <c r="H108" s="85">
        <f t="shared" si="3"/>
        <v>-1784250</v>
      </c>
      <c r="I108" s="87">
        <f t="shared" si="4"/>
        <v>0.16623831775700934</v>
      </c>
      <c r="J108" s="74" t="str">
        <f>IF(I108&gt;='02_Control_Panel'!$B$8,"Achieved",IF(I108&gt;='02_Control_Panel'!$B$7,"Near Target","Below Target"))</f>
        <v>Below Target</v>
      </c>
    </row>
    <row r="109" spans="1:10">
      <c r="A109" s="8">
        <f t="shared" si="5"/>
        <v>46266</v>
      </c>
      <c r="B109" s="76">
        <f>ROUNDUP(ROWS($B$2:B109)/12,0)</f>
        <v>9</v>
      </c>
      <c r="C109" s="74" t="str">
        <f>"SP"&amp;TEXT(MOD(ROWS($C$2:C109)-1,12)+1,"000")</f>
        <v>SP012</v>
      </c>
      <c r="D109" s="74" t="s">
        <v>44</v>
      </c>
      <c r="E109" s="74" t="s">
        <v>14</v>
      </c>
      <c r="F109" s="86">
        <f>SUMIFS(tblSalesTargets[Target Amount],tblSalesTargets[MonthYear],A109,tblSalesTargets[Salesperson ID],C109)</f>
        <v>2033000</v>
      </c>
      <c r="G109" s="85">
        <f>SUMIFS(tblSalesTransactions[Sales Amount],tblSalesTransactions[Salesperson ID],C109,tblSalesTransactions[Date],"&gt;="&amp;DATE(YEAR(A109),MONTH(A109),1),tblSalesTransactions[Date],"&lt;"&amp;EDATE(A109,1))</f>
        <v>329500</v>
      </c>
      <c r="H109" s="85">
        <f t="shared" si="3"/>
        <v>-1703500</v>
      </c>
      <c r="I109" s="87">
        <f t="shared" si="4"/>
        <v>0.16207575012297099</v>
      </c>
      <c r="J109" s="74" t="str">
        <f>IF(I109&gt;='02_Control_Panel'!$B$8,"Achieved",IF(I109&gt;='02_Control_Panel'!$B$7,"Near Target","Below Target"))</f>
        <v>Below Target</v>
      </c>
    </row>
    <row r="110" spans="1:10">
      <c r="A110" s="8">
        <f t="shared" si="5"/>
        <v>46296</v>
      </c>
      <c r="B110" s="76">
        <f>ROUNDUP(ROWS($B$2:B110)/12,0)</f>
        <v>10</v>
      </c>
      <c r="C110" s="74" t="str">
        <f>"SP"&amp;TEXT(MOD(ROWS($C$2:C110)-1,12)+1,"000")</f>
        <v>SP001</v>
      </c>
      <c r="D110" s="74" t="s">
        <v>20</v>
      </c>
      <c r="E110" s="74" t="s">
        <v>4</v>
      </c>
      <c r="F110" s="86">
        <f>SUMIFS(tblSalesTargets[Target Amount],tblSalesTargets[MonthYear],A110,tblSalesTargets[Salesperson ID],C110)</f>
        <v>2750000</v>
      </c>
      <c r="G110" s="85">
        <f>SUMIFS(tblSalesTransactions[Sales Amount],tblSalesTransactions[Salesperson ID],C110,tblSalesTransactions[Date],"&gt;="&amp;DATE(YEAR(A110),MONTH(A110),1),tblSalesTransactions[Date],"&lt;"&amp;EDATE(A110,1))</f>
        <v>298750</v>
      </c>
      <c r="H110" s="85">
        <f t="shared" si="3"/>
        <v>-2451250</v>
      </c>
      <c r="I110" s="87">
        <f t="shared" si="4"/>
        <v>0.10863636363636364</v>
      </c>
      <c r="J110" s="74" t="str">
        <f>IF(I110&gt;='02_Control_Panel'!$B$8,"Achieved",IF(I110&gt;='02_Control_Panel'!$B$7,"Near Target","Below Target"))</f>
        <v>Below Target</v>
      </c>
    </row>
    <row r="111" spans="1:10">
      <c r="A111" s="8">
        <f t="shared" si="5"/>
        <v>46296</v>
      </c>
      <c r="B111" s="76">
        <f>ROUNDUP(ROWS($B$2:B111)/12,0)</f>
        <v>10</v>
      </c>
      <c r="C111" s="74" t="str">
        <f>"SP"&amp;TEXT(MOD(ROWS($C$2:C111)-1,12)+1,"000")</f>
        <v>SP002</v>
      </c>
      <c r="D111" s="74" t="s">
        <v>20</v>
      </c>
      <c r="E111" s="74" t="s">
        <v>4</v>
      </c>
      <c r="F111" s="86">
        <f>SUMIFS(tblSalesTargets[Target Amount],tblSalesTargets[MonthYear],A111,tblSalesTargets[Salesperson ID],C111)</f>
        <v>2530000</v>
      </c>
      <c r="G111" s="85">
        <f>SUMIFS(tblSalesTransactions[Sales Amount],tblSalesTransactions[Salesperson ID],C111,tblSalesTransactions[Date],"&gt;="&amp;DATE(YEAR(A111),MONTH(A111),1),tblSalesTransactions[Date],"&lt;"&amp;EDATE(A111,1))</f>
        <v>355500</v>
      </c>
      <c r="H111" s="85">
        <f t="shared" si="3"/>
        <v>-2174500</v>
      </c>
      <c r="I111" s="87">
        <f t="shared" si="4"/>
        <v>0.14051383399209486</v>
      </c>
      <c r="J111" s="74" t="str">
        <f>IF(I111&gt;='02_Control_Panel'!$B$8,"Achieved",IF(I111&gt;='02_Control_Panel'!$B$7,"Near Target","Below Target"))</f>
        <v>Below Target</v>
      </c>
    </row>
    <row r="112" spans="1:10">
      <c r="A112" s="8">
        <f t="shared" si="5"/>
        <v>46296</v>
      </c>
      <c r="B112" s="76">
        <f>ROUNDUP(ROWS($B$2:B112)/12,0)</f>
        <v>10</v>
      </c>
      <c r="C112" s="74" t="str">
        <f>"SP"&amp;TEXT(MOD(ROWS($C$2:C112)-1,12)+1,"000")</f>
        <v>SP003</v>
      </c>
      <c r="D112" s="74" t="s">
        <v>20</v>
      </c>
      <c r="E112" s="74" t="s">
        <v>4</v>
      </c>
      <c r="F112" s="86">
        <f>SUMIFS(tblSalesTargets[Target Amount],tblSalesTargets[MonthYear],A112,tblSalesTargets[Salesperson ID],C112)</f>
        <v>2420000</v>
      </c>
      <c r="G112" s="85">
        <f>SUMIFS(tblSalesTransactions[Sales Amount],tblSalesTransactions[Salesperson ID],C112,tblSalesTransactions[Date],"&gt;="&amp;DATE(YEAR(A112),MONTH(A112),1),tblSalesTransactions[Date],"&lt;"&amp;EDATE(A112,1))</f>
        <v>310500</v>
      </c>
      <c r="H112" s="85">
        <f t="shared" si="3"/>
        <v>-2109500</v>
      </c>
      <c r="I112" s="87">
        <f t="shared" si="4"/>
        <v>0.12830578512396695</v>
      </c>
      <c r="J112" s="74" t="str">
        <f>IF(I112&gt;='02_Control_Panel'!$B$8,"Achieved",IF(I112&gt;='02_Control_Panel'!$B$7,"Near Target","Below Target"))</f>
        <v>Below Target</v>
      </c>
    </row>
    <row r="113" spans="1:10">
      <c r="A113" s="8">
        <f t="shared" si="5"/>
        <v>46296</v>
      </c>
      <c r="B113" s="76">
        <f>ROUNDUP(ROWS($B$2:B113)/12,0)</f>
        <v>10</v>
      </c>
      <c r="C113" s="74" t="str">
        <f>"SP"&amp;TEXT(MOD(ROWS($C$2:C113)-1,12)+1,"000")</f>
        <v>SP004</v>
      </c>
      <c r="D113" s="74" t="s">
        <v>28</v>
      </c>
      <c r="E113" s="74" t="s">
        <v>8</v>
      </c>
      <c r="F113" s="86">
        <f>SUMIFS(tblSalesTargets[Target Amount],tblSalesTargets[MonthYear],A113,tblSalesTargets[Salesperson ID],C113)</f>
        <v>2970000</v>
      </c>
      <c r="G113" s="85">
        <f>SUMIFS(tblSalesTransactions[Sales Amount],tblSalesTransactions[Salesperson ID],C113,tblSalesTransactions[Date],"&gt;="&amp;DATE(YEAR(A113),MONTH(A113),1),tblSalesTransactions[Date],"&lt;"&amp;EDATE(A113,1))</f>
        <v>585000</v>
      </c>
      <c r="H113" s="85">
        <f t="shared" si="3"/>
        <v>-2385000</v>
      </c>
      <c r="I113" s="87">
        <f t="shared" si="4"/>
        <v>0.19696969696969696</v>
      </c>
      <c r="J113" s="74" t="str">
        <f>IF(I113&gt;='02_Control_Panel'!$B$8,"Achieved",IF(I113&gt;='02_Control_Panel'!$B$7,"Near Target","Below Target"))</f>
        <v>Below Target</v>
      </c>
    </row>
    <row r="114" spans="1:10">
      <c r="A114" s="8">
        <f t="shared" si="5"/>
        <v>46296</v>
      </c>
      <c r="B114" s="76">
        <f>ROUNDUP(ROWS($B$2:B114)/12,0)</f>
        <v>10</v>
      </c>
      <c r="C114" s="74" t="str">
        <f>"SP"&amp;TEXT(MOD(ROWS($C$2:C114)-1,12)+1,"000")</f>
        <v>SP005</v>
      </c>
      <c r="D114" s="74" t="s">
        <v>28</v>
      </c>
      <c r="E114" s="74" t="s">
        <v>8</v>
      </c>
      <c r="F114" s="86">
        <f>SUMIFS(tblSalesTargets[Target Amount],tblSalesTargets[MonthYear],A114,tblSalesTargets[Salesperson ID],C114)</f>
        <v>2750000</v>
      </c>
      <c r="G114" s="85">
        <f>SUMIFS(tblSalesTransactions[Sales Amount],tblSalesTransactions[Salesperson ID],C114,tblSalesTransactions[Date],"&gt;="&amp;DATE(YEAR(A114),MONTH(A114),1),tblSalesTransactions[Date],"&lt;"&amp;EDATE(A114,1))</f>
        <v>658500</v>
      </c>
      <c r="H114" s="85">
        <f t="shared" si="3"/>
        <v>-2091500</v>
      </c>
      <c r="I114" s="87">
        <f t="shared" si="4"/>
        <v>0.23945454545454545</v>
      </c>
      <c r="J114" s="74" t="str">
        <f>IF(I114&gt;='02_Control_Panel'!$B$8,"Achieved",IF(I114&gt;='02_Control_Panel'!$B$7,"Near Target","Below Target"))</f>
        <v>Below Target</v>
      </c>
    </row>
    <row r="115" spans="1:10">
      <c r="A115" s="8">
        <f t="shared" si="5"/>
        <v>46296</v>
      </c>
      <c r="B115" s="76">
        <f>ROUNDUP(ROWS($B$2:B115)/12,0)</f>
        <v>10</v>
      </c>
      <c r="C115" s="74" t="str">
        <f>"SP"&amp;TEXT(MOD(ROWS($C$2:C115)-1,12)+1,"000")</f>
        <v>SP006</v>
      </c>
      <c r="D115" s="74" t="s">
        <v>28</v>
      </c>
      <c r="E115" s="74" t="s">
        <v>8</v>
      </c>
      <c r="F115" s="86">
        <f>SUMIFS(tblSalesTargets[Target Amount],tblSalesTargets[MonthYear],A115,tblSalesTargets[Salesperson ID],C115)</f>
        <v>2530000</v>
      </c>
      <c r="G115" s="85">
        <f>SUMIFS(tblSalesTransactions[Sales Amount],tblSalesTransactions[Salesperson ID],C115,tblSalesTransactions[Date],"&gt;="&amp;DATE(YEAR(A115),MONTH(A115),1),tblSalesTransactions[Date],"&lt;"&amp;EDATE(A115,1))</f>
        <v>376500</v>
      </c>
      <c r="H115" s="85">
        <f t="shared" si="3"/>
        <v>-2153500</v>
      </c>
      <c r="I115" s="87">
        <f t="shared" si="4"/>
        <v>0.14881422924901186</v>
      </c>
      <c r="J115" s="74" t="str">
        <f>IF(I115&gt;='02_Control_Panel'!$B$8,"Achieved",IF(I115&gt;='02_Control_Panel'!$B$7,"Near Target","Below Target"))</f>
        <v>Below Target</v>
      </c>
    </row>
    <row r="116" spans="1:10">
      <c r="A116" s="8">
        <f t="shared" si="5"/>
        <v>46296</v>
      </c>
      <c r="B116" s="76">
        <f>ROUNDUP(ROWS($B$2:B116)/12,0)</f>
        <v>10</v>
      </c>
      <c r="C116" s="74" t="str">
        <f>"SP"&amp;TEXT(MOD(ROWS($C$2:C116)-1,12)+1,"000")</f>
        <v>SP007</v>
      </c>
      <c r="D116" s="74" t="s">
        <v>36</v>
      </c>
      <c r="E116" s="74" t="s">
        <v>11</v>
      </c>
      <c r="F116" s="86">
        <f>SUMIFS(tblSalesTargets[Target Amount],tblSalesTargets[MonthYear],A116,tblSalesTargets[Salesperson ID],C116)</f>
        <v>2640000</v>
      </c>
      <c r="G116" s="85">
        <f>SUMIFS(tblSalesTransactions[Sales Amount],tblSalesTransactions[Salesperson ID],C116,tblSalesTransactions[Date],"&gt;="&amp;DATE(YEAR(A116),MONTH(A116),1),tblSalesTransactions[Date],"&lt;"&amp;EDATE(A116,1))</f>
        <v>679500</v>
      </c>
      <c r="H116" s="85">
        <f t="shared" si="3"/>
        <v>-1960500</v>
      </c>
      <c r="I116" s="87">
        <f t="shared" si="4"/>
        <v>0.25738636363636364</v>
      </c>
      <c r="J116" s="74" t="str">
        <f>IF(I116&gt;='02_Control_Panel'!$B$8,"Achieved",IF(I116&gt;='02_Control_Panel'!$B$7,"Near Target","Below Target"))</f>
        <v>Below Target</v>
      </c>
    </row>
    <row r="117" spans="1:10">
      <c r="A117" s="8">
        <f t="shared" si="5"/>
        <v>46296</v>
      </c>
      <c r="B117" s="76">
        <f>ROUNDUP(ROWS($B$2:B117)/12,0)</f>
        <v>10</v>
      </c>
      <c r="C117" s="74" t="str">
        <f>"SP"&amp;TEXT(MOD(ROWS($C$2:C117)-1,12)+1,"000")</f>
        <v>SP008</v>
      </c>
      <c r="D117" s="74" t="s">
        <v>36</v>
      </c>
      <c r="E117" s="74" t="s">
        <v>11</v>
      </c>
      <c r="F117" s="86">
        <f>SUMIFS(tblSalesTargets[Target Amount],tblSalesTargets[MonthYear],A117,tblSalesTargets[Salesperson ID],C117)</f>
        <v>2420000</v>
      </c>
      <c r="G117" s="85">
        <f>SUMIFS(tblSalesTransactions[Sales Amount],tblSalesTransactions[Salesperson ID],C117,tblSalesTransactions[Date],"&gt;="&amp;DATE(YEAR(A117),MONTH(A117),1),tblSalesTransactions[Date],"&lt;"&amp;EDATE(A117,1))</f>
        <v>703500</v>
      </c>
      <c r="H117" s="85">
        <f t="shared" si="3"/>
        <v>-1716500</v>
      </c>
      <c r="I117" s="87">
        <f t="shared" si="4"/>
        <v>0.29070247933884297</v>
      </c>
      <c r="J117" s="74" t="str">
        <f>IF(I117&gt;='02_Control_Panel'!$B$8,"Achieved",IF(I117&gt;='02_Control_Panel'!$B$7,"Near Target","Below Target"))</f>
        <v>Below Target</v>
      </c>
    </row>
    <row r="118" spans="1:10">
      <c r="A118" s="8">
        <f t="shared" si="5"/>
        <v>46296</v>
      </c>
      <c r="B118" s="76">
        <f>ROUNDUP(ROWS($B$2:B118)/12,0)</f>
        <v>10</v>
      </c>
      <c r="C118" s="74" t="str">
        <f>"SP"&amp;TEXT(MOD(ROWS($C$2:C118)-1,12)+1,"000")</f>
        <v>SP009</v>
      </c>
      <c r="D118" s="74" t="s">
        <v>36</v>
      </c>
      <c r="E118" s="74" t="s">
        <v>11</v>
      </c>
      <c r="F118" s="86">
        <f>SUMIFS(tblSalesTargets[Target Amount],tblSalesTargets[MonthYear],A118,tblSalesTargets[Salesperson ID],C118)</f>
        <v>2310000</v>
      </c>
      <c r="G118" s="85">
        <f>SUMIFS(tblSalesTransactions[Sales Amount],tblSalesTransactions[Salesperson ID],C118,tblSalesTransactions[Date],"&gt;="&amp;DATE(YEAR(A118),MONTH(A118),1),tblSalesTransactions[Date],"&lt;"&amp;EDATE(A118,1))</f>
        <v>388500</v>
      </c>
      <c r="H118" s="85">
        <f t="shared" si="3"/>
        <v>-1921500</v>
      </c>
      <c r="I118" s="87">
        <f t="shared" si="4"/>
        <v>0.16818181818181818</v>
      </c>
      <c r="J118" s="74" t="str">
        <f>IF(I118&gt;='02_Control_Panel'!$B$8,"Achieved",IF(I118&gt;='02_Control_Panel'!$B$7,"Near Target","Below Target"))</f>
        <v>Below Target</v>
      </c>
    </row>
    <row r="119" spans="1:10">
      <c r="A119" s="8">
        <f t="shared" si="5"/>
        <v>46296</v>
      </c>
      <c r="B119" s="76">
        <f>ROUNDUP(ROWS($B$2:B119)/12,0)</f>
        <v>10</v>
      </c>
      <c r="C119" s="74" t="str">
        <f>"SP"&amp;TEXT(MOD(ROWS($C$2:C119)-1,12)+1,"000")</f>
        <v>SP010</v>
      </c>
      <c r="D119" s="74" t="s">
        <v>44</v>
      </c>
      <c r="E119" s="74" t="s">
        <v>14</v>
      </c>
      <c r="F119" s="86">
        <f>SUMIFS(tblSalesTargets[Target Amount],tblSalesTargets[MonthYear],A119,tblSalesTargets[Salesperson ID],C119)</f>
        <v>2420000</v>
      </c>
      <c r="G119" s="85">
        <f>SUMIFS(tblSalesTransactions[Sales Amount],tblSalesTransactions[Salesperson ID],C119,tblSalesTransactions[Date],"&gt;="&amp;DATE(YEAR(A119),MONTH(A119),1),tblSalesTransactions[Date],"&lt;"&amp;EDATE(A119,1))</f>
        <v>367750</v>
      </c>
      <c r="H119" s="85">
        <f t="shared" si="3"/>
        <v>-2052250</v>
      </c>
      <c r="I119" s="87">
        <f t="shared" si="4"/>
        <v>0.15196280991735536</v>
      </c>
      <c r="J119" s="74" t="str">
        <f>IF(I119&gt;='02_Control_Panel'!$B$8,"Achieved",IF(I119&gt;='02_Control_Panel'!$B$7,"Near Target","Below Target"))</f>
        <v>Below Target</v>
      </c>
    </row>
    <row r="120" spans="1:10">
      <c r="A120" s="8">
        <f t="shared" si="5"/>
        <v>46296</v>
      </c>
      <c r="B120" s="76">
        <f>ROUNDUP(ROWS($B$2:B120)/12,0)</f>
        <v>10</v>
      </c>
      <c r="C120" s="74" t="str">
        <f>"SP"&amp;TEXT(MOD(ROWS($C$2:C120)-1,12)+1,"000")</f>
        <v>SP011</v>
      </c>
      <c r="D120" s="74" t="s">
        <v>44</v>
      </c>
      <c r="E120" s="74" t="s">
        <v>14</v>
      </c>
      <c r="F120" s="86">
        <f>SUMIFS(tblSalesTargets[Target Amount],tblSalesTargets[MonthYear],A120,tblSalesTargets[Salesperson ID],C120)</f>
        <v>2200000</v>
      </c>
      <c r="G120" s="85">
        <f>SUMIFS(tblSalesTransactions[Sales Amount],tblSalesTransactions[Salesperson ID],C120,tblSalesTransactions[Date],"&gt;="&amp;DATE(YEAR(A120),MONTH(A120),1),tblSalesTransactions[Date],"&lt;"&amp;EDATE(A120,1))</f>
        <v>380250</v>
      </c>
      <c r="H120" s="85">
        <f t="shared" si="3"/>
        <v>-1819750</v>
      </c>
      <c r="I120" s="87">
        <f t="shared" si="4"/>
        <v>0.1728409090909091</v>
      </c>
      <c r="J120" s="74" t="str">
        <f>IF(I120&gt;='02_Control_Panel'!$B$8,"Achieved",IF(I120&gt;='02_Control_Panel'!$B$7,"Near Target","Below Target"))</f>
        <v>Below Target</v>
      </c>
    </row>
    <row r="121" spans="1:10">
      <c r="A121" s="8">
        <f t="shared" si="5"/>
        <v>46296</v>
      </c>
      <c r="B121" s="76">
        <f>ROUNDUP(ROWS($B$2:B121)/12,0)</f>
        <v>10</v>
      </c>
      <c r="C121" s="74" t="str">
        <f>"SP"&amp;TEXT(MOD(ROWS($C$2:C121)-1,12)+1,"000")</f>
        <v>SP012</v>
      </c>
      <c r="D121" s="74" t="s">
        <v>44</v>
      </c>
      <c r="E121" s="74" t="s">
        <v>14</v>
      </c>
      <c r="F121" s="86">
        <f>SUMIFS(tblSalesTargets[Target Amount],tblSalesTargets[MonthYear],A121,tblSalesTargets[Salesperson ID],C121)</f>
        <v>2090000</v>
      </c>
      <c r="G121" s="85">
        <f>SUMIFS(tblSalesTransactions[Sales Amount],tblSalesTransactions[Salesperson ID],C121,tblSalesTransactions[Date],"&gt;="&amp;DATE(YEAR(A121),MONTH(A121),1),tblSalesTransactions[Date],"&lt;"&amp;EDATE(A121,1))</f>
        <v>354000</v>
      </c>
      <c r="H121" s="85">
        <f t="shared" si="3"/>
        <v>-1736000</v>
      </c>
      <c r="I121" s="87">
        <f t="shared" si="4"/>
        <v>0.16937799043062202</v>
      </c>
      <c r="J121" s="74" t="str">
        <f>IF(I121&gt;='02_Control_Panel'!$B$8,"Achieved",IF(I121&gt;='02_Control_Panel'!$B$7,"Near Target","Below Target"))</f>
        <v>Below Target</v>
      </c>
    </row>
    <row r="122" spans="1:10">
      <c r="A122" s="8">
        <f t="shared" si="5"/>
        <v>46327</v>
      </c>
      <c r="B122" s="76">
        <f>ROUNDUP(ROWS($B$2:B122)/12,0)</f>
        <v>11</v>
      </c>
      <c r="C122" s="74" t="str">
        <f>"SP"&amp;TEXT(MOD(ROWS($C$2:C122)-1,12)+1,"000")</f>
        <v>SP001</v>
      </c>
      <c r="D122" s="74" t="s">
        <v>20</v>
      </c>
      <c r="E122" s="74" t="s">
        <v>4</v>
      </c>
      <c r="F122" s="86">
        <f>SUMIFS(tblSalesTargets[Target Amount],tblSalesTargets[MonthYear],A122,tblSalesTargets[Salesperson ID],C122)</f>
        <v>2800000</v>
      </c>
      <c r="G122" s="85">
        <f>SUMIFS(tblSalesTransactions[Sales Amount],tblSalesTransactions[Salesperson ID],C122,tblSalesTransactions[Date],"&gt;="&amp;DATE(YEAR(A122),MONTH(A122),1),tblSalesTransactions[Date],"&lt;"&amp;EDATE(A122,1))</f>
        <v>316750</v>
      </c>
      <c r="H122" s="85">
        <f t="shared" si="3"/>
        <v>-2483250</v>
      </c>
      <c r="I122" s="87">
        <f t="shared" si="4"/>
        <v>0.113125</v>
      </c>
      <c r="J122" s="74" t="str">
        <f>IF(I122&gt;='02_Control_Panel'!$B$8,"Achieved",IF(I122&gt;='02_Control_Panel'!$B$7,"Near Target","Below Target"))</f>
        <v>Below Target</v>
      </c>
    </row>
    <row r="123" spans="1:10">
      <c r="A123" s="8">
        <f t="shared" si="5"/>
        <v>46327</v>
      </c>
      <c r="B123" s="76">
        <f>ROUNDUP(ROWS($B$2:B123)/12,0)</f>
        <v>11</v>
      </c>
      <c r="C123" s="74" t="str">
        <f>"SP"&amp;TEXT(MOD(ROWS($C$2:C123)-1,12)+1,"000")</f>
        <v>SP002</v>
      </c>
      <c r="D123" s="74" t="s">
        <v>20</v>
      </c>
      <c r="E123" s="74" t="s">
        <v>4</v>
      </c>
      <c r="F123" s="86">
        <f>SUMIFS(tblSalesTargets[Target Amount],tblSalesTargets[MonthYear],A123,tblSalesTargets[Salesperson ID],C123)</f>
        <v>2576000</v>
      </c>
      <c r="G123" s="85">
        <f>SUMIFS(tblSalesTransactions[Sales Amount],tblSalesTransactions[Salesperson ID],C123,tblSalesTransactions[Date],"&gt;="&amp;DATE(YEAR(A123),MONTH(A123),1),tblSalesTransactions[Date],"&lt;"&amp;EDATE(A123,1))</f>
        <v>451500</v>
      </c>
      <c r="H123" s="85">
        <f t="shared" si="3"/>
        <v>-2124500</v>
      </c>
      <c r="I123" s="87">
        <f t="shared" si="4"/>
        <v>0.17527173913043478</v>
      </c>
      <c r="J123" s="74" t="str">
        <f>IF(I123&gt;='02_Control_Panel'!$B$8,"Achieved",IF(I123&gt;='02_Control_Panel'!$B$7,"Near Target","Below Target"))</f>
        <v>Below Target</v>
      </c>
    </row>
    <row r="124" spans="1:10">
      <c r="A124" s="8">
        <f t="shared" si="5"/>
        <v>46327</v>
      </c>
      <c r="B124" s="76">
        <f>ROUNDUP(ROWS($B$2:B124)/12,0)</f>
        <v>11</v>
      </c>
      <c r="C124" s="74" t="str">
        <f>"SP"&amp;TEXT(MOD(ROWS($C$2:C124)-1,12)+1,"000")</f>
        <v>SP003</v>
      </c>
      <c r="D124" s="74" t="s">
        <v>20</v>
      </c>
      <c r="E124" s="74" t="s">
        <v>4</v>
      </c>
      <c r="F124" s="86">
        <f>SUMIFS(tblSalesTargets[Target Amount],tblSalesTargets[MonthYear],A124,tblSalesTargets[Salesperson ID],C124)</f>
        <v>2464000</v>
      </c>
      <c r="G124" s="85">
        <f>SUMIFS(tblSalesTransactions[Sales Amount],tblSalesTransactions[Salesperson ID],C124,tblSalesTransactions[Date],"&gt;="&amp;DATE(YEAR(A124),MONTH(A124),1),tblSalesTransactions[Date],"&lt;"&amp;EDATE(A124,1))</f>
        <v>416500</v>
      </c>
      <c r="H124" s="85">
        <f t="shared" si="3"/>
        <v>-2047500</v>
      </c>
      <c r="I124" s="87">
        <f t="shared" si="4"/>
        <v>0.16903409090909091</v>
      </c>
      <c r="J124" s="74" t="str">
        <f>IF(I124&gt;='02_Control_Panel'!$B$8,"Achieved",IF(I124&gt;='02_Control_Panel'!$B$7,"Near Target","Below Target"))</f>
        <v>Below Target</v>
      </c>
    </row>
    <row r="125" spans="1:10">
      <c r="A125" s="8">
        <f t="shared" si="5"/>
        <v>46327</v>
      </c>
      <c r="B125" s="76">
        <f>ROUNDUP(ROWS($B$2:B125)/12,0)</f>
        <v>11</v>
      </c>
      <c r="C125" s="74" t="str">
        <f>"SP"&amp;TEXT(MOD(ROWS($C$2:C125)-1,12)+1,"000")</f>
        <v>SP004</v>
      </c>
      <c r="D125" s="74" t="s">
        <v>28</v>
      </c>
      <c r="E125" s="74" t="s">
        <v>8</v>
      </c>
      <c r="F125" s="86">
        <f>SUMIFS(tblSalesTargets[Target Amount],tblSalesTargets[MonthYear],A125,tblSalesTargets[Salesperson ID],C125)</f>
        <v>3024000</v>
      </c>
      <c r="G125" s="85">
        <f>SUMIFS(tblSalesTransactions[Sales Amount],tblSalesTransactions[Salesperson ID],C125,tblSalesTransactions[Date],"&gt;="&amp;DATE(YEAR(A125),MONTH(A125),1),tblSalesTransactions[Date],"&lt;"&amp;EDATE(A125,1))</f>
        <v>588000</v>
      </c>
      <c r="H125" s="85">
        <f t="shared" si="3"/>
        <v>-2436000</v>
      </c>
      <c r="I125" s="87">
        <f t="shared" si="4"/>
        <v>0.19444444444444445</v>
      </c>
      <c r="J125" s="74" t="str">
        <f>IF(I125&gt;='02_Control_Panel'!$B$8,"Achieved",IF(I125&gt;='02_Control_Panel'!$B$7,"Near Target","Below Target"))</f>
        <v>Below Target</v>
      </c>
    </row>
    <row r="126" spans="1:10">
      <c r="A126" s="8">
        <f t="shared" si="5"/>
        <v>46327</v>
      </c>
      <c r="B126" s="76">
        <f>ROUNDUP(ROWS($B$2:B126)/12,0)</f>
        <v>11</v>
      </c>
      <c r="C126" s="74" t="str">
        <f>"SP"&amp;TEXT(MOD(ROWS($C$2:C126)-1,12)+1,"000")</f>
        <v>SP005</v>
      </c>
      <c r="D126" s="74" t="s">
        <v>28</v>
      </c>
      <c r="E126" s="74" t="s">
        <v>8</v>
      </c>
      <c r="F126" s="86">
        <f>SUMIFS(tblSalesTargets[Target Amount],tblSalesTargets[MonthYear],A126,tblSalesTargets[Salesperson ID],C126)</f>
        <v>2800000</v>
      </c>
      <c r="G126" s="85">
        <f>SUMIFS(tblSalesTransactions[Sales Amount],tblSalesTransactions[Salesperson ID],C126,tblSalesTransactions[Date],"&gt;="&amp;DATE(YEAR(A126),MONTH(A126),1),tblSalesTransactions[Date],"&lt;"&amp;EDATE(A126,1))</f>
        <v>561000</v>
      </c>
      <c r="H126" s="85">
        <f t="shared" si="3"/>
        <v>-2239000</v>
      </c>
      <c r="I126" s="87">
        <f t="shared" si="4"/>
        <v>0.20035714285714284</v>
      </c>
      <c r="J126" s="74" t="str">
        <f>IF(I126&gt;='02_Control_Panel'!$B$8,"Achieved",IF(I126&gt;='02_Control_Panel'!$B$7,"Near Target","Below Target"))</f>
        <v>Below Target</v>
      </c>
    </row>
    <row r="127" spans="1:10">
      <c r="A127" s="8">
        <f t="shared" si="5"/>
        <v>46327</v>
      </c>
      <c r="B127" s="76">
        <f>ROUNDUP(ROWS($B$2:B127)/12,0)</f>
        <v>11</v>
      </c>
      <c r="C127" s="74" t="str">
        <f>"SP"&amp;TEXT(MOD(ROWS($C$2:C127)-1,12)+1,"000")</f>
        <v>SP006</v>
      </c>
      <c r="D127" s="74" t="s">
        <v>28</v>
      </c>
      <c r="E127" s="74" t="s">
        <v>8</v>
      </c>
      <c r="F127" s="86">
        <f>SUMIFS(tblSalesTargets[Target Amount],tblSalesTargets[MonthYear],A127,tblSalesTargets[Salesperson ID],C127)</f>
        <v>2576000</v>
      </c>
      <c r="G127" s="85">
        <f>SUMIFS(tblSalesTransactions[Sales Amount],tblSalesTransactions[Salesperson ID],C127,tblSalesTransactions[Date],"&gt;="&amp;DATE(YEAR(A127),MONTH(A127),1),tblSalesTransactions[Date],"&lt;"&amp;EDATE(A127,1))</f>
        <v>582500</v>
      </c>
      <c r="H127" s="85">
        <f t="shared" si="3"/>
        <v>-1993500</v>
      </c>
      <c r="I127" s="87">
        <f t="shared" si="4"/>
        <v>0.22612577639751552</v>
      </c>
      <c r="J127" s="74" t="str">
        <f>IF(I127&gt;='02_Control_Panel'!$B$8,"Achieved",IF(I127&gt;='02_Control_Panel'!$B$7,"Near Target","Below Target"))</f>
        <v>Below Target</v>
      </c>
    </row>
    <row r="128" spans="1:10">
      <c r="A128" s="8">
        <f t="shared" si="5"/>
        <v>46327</v>
      </c>
      <c r="B128" s="76">
        <f>ROUNDUP(ROWS($B$2:B128)/12,0)</f>
        <v>11</v>
      </c>
      <c r="C128" s="74" t="str">
        <f>"SP"&amp;TEXT(MOD(ROWS($C$2:C128)-1,12)+1,"000")</f>
        <v>SP007</v>
      </c>
      <c r="D128" s="74" t="s">
        <v>36</v>
      </c>
      <c r="E128" s="74" t="s">
        <v>11</v>
      </c>
      <c r="F128" s="86">
        <f>SUMIFS(tblSalesTargets[Target Amount],tblSalesTargets[MonthYear],A128,tblSalesTargets[Salesperson ID],C128)</f>
        <v>2688000</v>
      </c>
      <c r="G128" s="85">
        <f>SUMIFS(tblSalesTransactions[Sales Amount],tblSalesTransactions[Salesperson ID],C128,tblSalesTransactions[Date],"&gt;="&amp;DATE(YEAR(A128),MONTH(A128),1),tblSalesTransactions[Date],"&lt;"&amp;EDATE(A128,1))</f>
        <v>660000</v>
      </c>
      <c r="H128" s="85">
        <f t="shared" si="3"/>
        <v>-2028000</v>
      </c>
      <c r="I128" s="87">
        <f t="shared" si="4"/>
        <v>0.24553571428571427</v>
      </c>
      <c r="J128" s="74" t="str">
        <f>IF(I128&gt;='02_Control_Panel'!$B$8,"Achieved",IF(I128&gt;='02_Control_Panel'!$B$7,"Near Target","Below Target"))</f>
        <v>Below Target</v>
      </c>
    </row>
    <row r="129" spans="1:10">
      <c r="A129" s="8">
        <f t="shared" si="5"/>
        <v>46327</v>
      </c>
      <c r="B129" s="76">
        <f>ROUNDUP(ROWS($B$2:B129)/12,0)</f>
        <v>11</v>
      </c>
      <c r="C129" s="74" t="str">
        <f>"SP"&amp;TEXT(MOD(ROWS($C$2:C129)-1,12)+1,"000")</f>
        <v>SP008</v>
      </c>
      <c r="D129" s="74" t="s">
        <v>36</v>
      </c>
      <c r="E129" s="74" t="s">
        <v>11</v>
      </c>
      <c r="F129" s="86">
        <f>SUMIFS(tblSalesTargets[Target Amount],tblSalesTargets[MonthYear],A129,tblSalesTargets[Salesperson ID],C129)</f>
        <v>2464000</v>
      </c>
      <c r="G129" s="85">
        <f>SUMIFS(tblSalesTransactions[Sales Amount],tblSalesTransactions[Salesperson ID],C129,tblSalesTransactions[Date],"&gt;="&amp;DATE(YEAR(A129),MONTH(A129),1),tblSalesTransactions[Date],"&lt;"&amp;EDATE(A129,1))</f>
        <v>758500</v>
      </c>
      <c r="H129" s="85">
        <f t="shared" si="3"/>
        <v>-1705500</v>
      </c>
      <c r="I129" s="87">
        <f t="shared" si="4"/>
        <v>0.30783279220779219</v>
      </c>
      <c r="J129" s="74" t="str">
        <f>IF(I129&gt;='02_Control_Panel'!$B$8,"Achieved",IF(I129&gt;='02_Control_Panel'!$B$7,"Near Target","Below Target"))</f>
        <v>Below Target</v>
      </c>
    </row>
    <row r="130" spans="1:10">
      <c r="A130" s="8">
        <f t="shared" si="5"/>
        <v>46327</v>
      </c>
      <c r="B130" s="76">
        <f>ROUNDUP(ROWS($B$2:B130)/12,0)</f>
        <v>11</v>
      </c>
      <c r="C130" s="74" t="str">
        <f>"SP"&amp;TEXT(MOD(ROWS($C$2:C130)-1,12)+1,"000")</f>
        <v>SP009</v>
      </c>
      <c r="D130" s="74" t="s">
        <v>36</v>
      </c>
      <c r="E130" s="74" t="s">
        <v>11</v>
      </c>
      <c r="F130" s="86">
        <f>SUMIFS(tblSalesTargets[Target Amount],tblSalesTargets[MonthYear],A130,tblSalesTargets[Salesperson ID],C130)</f>
        <v>2352000</v>
      </c>
      <c r="G130" s="85">
        <f>SUMIFS(tblSalesTransactions[Sales Amount],tblSalesTransactions[Salesperson ID],C130,tblSalesTransactions[Date],"&gt;="&amp;DATE(YEAR(A130),MONTH(A130),1),tblSalesTransactions[Date],"&lt;"&amp;EDATE(A130,1))</f>
        <v>420250</v>
      </c>
      <c r="H130" s="85">
        <f t="shared" ref="H130:H145" si="6">G130-F130</f>
        <v>-1931750</v>
      </c>
      <c r="I130" s="87">
        <f t="shared" ref="I130:I145" si="7">IFERROR(G130/F130,0)</f>
        <v>0.17867772108843538</v>
      </c>
      <c r="J130" s="74" t="str">
        <f>IF(I130&gt;='02_Control_Panel'!$B$8,"Achieved",IF(I130&gt;='02_Control_Panel'!$B$7,"Near Target","Below Target"))</f>
        <v>Below Target</v>
      </c>
    </row>
    <row r="131" spans="1:10">
      <c r="A131" s="8">
        <f t="shared" si="5"/>
        <v>46327</v>
      </c>
      <c r="B131" s="76">
        <f>ROUNDUP(ROWS($B$2:B131)/12,0)</f>
        <v>11</v>
      </c>
      <c r="C131" s="74" t="str">
        <f>"SP"&amp;TEXT(MOD(ROWS($C$2:C131)-1,12)+1,"000")</f>
        <v>SP010</v>
      </c>
      <c r="D131" s="74" t="s">
        <v>44</v>
      </c>
      <c r="E131" s="74" t="s">
        <v>14</v>
      </c>
      <c r="F131" s="86">
        <f>SUMIFS(tblSalesTargets[Target Amount],tblSalesTargets[MonthYear],A131,tblSalesTargets[Salesperson ID],C131)</f>
        <v>2464000</v>
      </c>
      <c r="G131" s="85">
        <f>SUMIFS(tblSalesTransactions[Sales Amount],tblSalesTransactions[Salesperson ID],C131,tblSalesTransactions[Date],"&gt;="&amp;DATE(YEAR(A131),MONTH(A131),1),tblSalesTransactions[Date],"&lt;"&amp;EDATE(A131,1))</f>
        <v>392750</v>
      </c>
      <c r="H131" s="85">
        <f t="shared" si="6"/>
        <v>-2071250</v>
      </c>
      <c r="I131" s="87">
        <f t="shared" si="7"/>
        <v>0.15939529220779219</v>
      </c>
      <c r="J131" s="74" t="str">
        <f>IF(I131&gt;='02_Control_Panel'!$B$8,"Achieved",IF(I131&gt;='02_Control_Panel'!$B$7,"Near Target","Below Target"))</f>
        <v>Below Target</v>
      </c>
    </row>
    <row r="132" spans="1:10">
      <c r="A132" s="8">
        <f t="shared" si="5"/>
        <v>46327</v>
      </c>
      <c r="B132" s="76">
        <f>ROUNDUP(ROWS($B$2:B132)/12,0)</f>
        <v>11</v>
      </c>
      <c r="C132" s="74" t="str">
        <f>"SP"&amp;TEXT(MOD(ROWS($C$2:C132)-1,12)+1,"000")</f>
        <v>SP011</v>
      </c>
      <c r="D132" s="74" t="s">
        <v>44</v>
      </c>
      <c r="E132" s="74" t="s">
        <v>14</v>
      </c>
      <c r="F132" s="86">
        <f>SUMIFS(tblSalesTargets[Target Amount],tblSalesTargets[MonthYear],A132,tblSalesTargets[Salesperson ID],C132)</f>
        <v>2240000</v>
      </c>
      <c r="G132" s="85">
        <f>SUMIFS(tblSalesTransactions[Sales Amount],tblSalesTransactions[Salesperson ID],C132,tblSalesTransactions[Date],"&gt;="&amp;DATE(YEAR(A132),MONTH(A132),1),tblSalesTransactions[Date],"&lt;"&amp;EDATE(A132,1))</f>
        <v>404750</v>
      </c>
      <c r="H132" s="85">
        <f t="shared" si="6"/>
        <v>-1835250</v>
      </c>
      <c r="I132" s="87">
        <f t="shared" si="7"/>
        <v>0.1806919642857143</v>
      </c>
      <c r="J132" s="74" t="str">
        <f>IF(I132&gt;='02_Control_Panel'!$B$8,"Achieved",IF(I132&gt;='02_Control_Panel'!$B$7,"Near Target","Below Target"))</f>
        <v>Below Target</v>
      </c>
    </row>
    <row r="133" spans="1:10">
      <c r="A133" s="8">
        <f t="shared" ref="A133:A145" si="8">DATE(2026,B133,1)</f>
        <v>46327</v>
      </c>
      <c r="B133" s="76">
        <f>ROUNDUP(ROWS($B$2:B133)/12,0)</f>
        <v>11</v>
      </c>
      <c r="C133" s="74" t="str">
        <f>"SP"&amp;TEXT(MOD(ROWS($C$2:C133)-1,12)+1,"000")</f>
        <v>SP012</v>
      </c>
      <c r="D133" s="74" t="s">
        <v>44</v>
      </c>
      <c r="E133" s="74" t="s">
        <v>14</v>
      </c>
      <c r="F133" s="86">
        <f>SUMIFS(tblSalesTargets[Target Amount],tblSalesTargets[MonthYear],A133,tblSalesTargets[Salesperson ID],C133)</f>
        <v>2128000</v>
      </c>
      <c r="G133" s="85">
        <f>SUMIFS(tblSalesTransactions[Sales Amount],tblSalesTransactions[Salesperson ID],C133,tblSalesTransactions[Date],"&gt;="&amp;DATE(YEAR(A133),MONTH(A133),1),tblSalesTransactions[Date],"&lt;"&amp;EDATE(A133,1))</f>
        <v>378500</v>
      </c>
      <c r="H133" s="85">
        <f t="shared" si="6"/>
        <v>-1749500</v>
      </c>
      <c r="I133" s="87">
        <f t="shared" si="7"/>
        <v>0.17786654135338345</v>
      </c>
      <c r="J133" s="74" t="str">
        <f>IF(I133&gt;='02_Control_Panel'!$B$8,"Achieved",IF(I133&gt;='02_Control_Panel'!$B$7,"Near Target","Below Target"))</f>
        <v>Below Target</v>
      </c>
    </row>
    <row r="134" spans="1:10">
      <c r="A134" s="8">
        <f t="shared" si="8"/>
        <v>46357</v>
      </c>
      <c r="B134" s="76">
        <f>ROUNDUP(ROWS($B$2:B134)/12,0)</f>
        <v>12</v>
      </c>
      <c r="C134" s="74" t="str">
        <f>"SP"&amp;TEXT(MOD(ROWS($C$2:C134)-1,12)+1,"000")</f>
        <v>SP001</v>
      </c>
      <c r="D134" s="74" t="s">
        <v>20</v>
      </c>
      <c r="E134" s="74" t="s">
        <v>4</v>
      </c>
      <c r="F134" s="86">
        <f>SUMIFS(tblSalesTargets[Target Amount],tblSalesTargets[MonthYear],A134,tblSalesTargets[Salesperson ID],C134)</f>
        <v>3000000</v>
      </c>
      <c r="G134" s="85">
        <f>SUMIFS(tblSalesTransactions[Sales Amount],tblSalesTransactions[Salesperson ID],C134,tblSalesTransactions[Date],"&gt;="&amp;DATE(YEAR(A134),MONTH(A134),1),tblSalesTransactions[Date],"&lt;"&amp;EDATE(A134,1))</f>
        <v>367000</v>
      </c>
      <c r="H134" s="85">
        <f t="shared" si="6"/>
        <v>-2633000</v>
      </c>
      <c r="I134" s="87">
        <f t="shared" si="7"/>
        <v>0.12233333333333334</v>
      </c>
      <c r="J134" s="74" t="str">
        <f>IF(I134&gt;='02_Control_Panel'!$B$8,"Achieved",IF(I134&gt;='02_Control_Panel'!$B$7,"Near Target","Below Target"))</f>
        <v>Below Target</v>
      </c>
    </row>
    <row r="135" spans="1:10">
      <c r="A135" s="8">
        <f t="shared" si="8"/>
        <v>46357</v>
      </c>
      <c r="B135" s="76">
        <f>ROUNDUP(ROWS($B$2:B135)/12,0)</f>
        <v>12</v>
      </c>
      <c r="C135" s="74" t="str">
        <f>"SP"&amp;TEXT(MOD(ROWS($C$2:C135)-1,12)+1,"000")</f>
        <v>SP002</v>
      </c>
      <c r="D135" s="74" t="s">
        <v>20</v>
      </c>
      <c r="E135" s="74" t="s">
        <v>4</v>
      </c>
      <c r="F135" s="86">
        <f>SUMIFS(tblSalesTargets[Target Amount],tblSalesTargets[MonthYear],A135,tblSalesTargets[Salesperson ID],C135)</f>
        <v>2760000</v>
      </c>
      <c r="G135" s="85">
        <f>SUMIFS(tblSalesTransactions[Sales Amount],tblSalesTransactions[Salesperson ID],C135,tblSalesTransactions[Date],"&gt;="&amp;DATE(YEAR(A135),MONTH(A135),1),tblSalesTransactions[Date],"&lt;"&amp;EDATE(A135,1))</f>
        <v>436500</v>
      </c>
      <c r="H135" s="85">
        <f t="shared" si="6"/>
        <v>-2323500</v>
      </c>
      <c r="I135" s="87">
        <f t="shared" si="7"/>
        <v>0.15815217391304348</v>
      </c>
      <c r="J135" s="74" t="str">
        <f>IF(I135&gt;='02_Control_Panel'!$B$8,"Achieved",IF(I135&gt;='02_Control_Panel'!$B$7,"Near Target","Below Target"))</f>
        <v>Below Target</v>
      </c>
    </row>
    <row r="136" spans="1:10">
      <c r="A136" s="8">
        <f t="shared" si="8"/>
        <v>46357</v>
      </c>
      <c r="B136" s="76">
        <f>ROUNDUP(ROWS($B$2:B136)/12,0)</f>
        <v>12</v>
      </c>
      <c r="C136" s="74" t="str">
        <f>"SP"&amp;TEXT(MOD(ROWS($C$2:C136)-1,12)+1,"000")</f>
        <v>SP003</v>
      </c>
      <c r="D136" s="74" t="s">
        <v>20</v>
      </c>
      <c r="E136" s="74" t="s">
        <v>4</v>
      </c>
      <c r="F136" s="86">
        <f>SUMIFS(tblSalesTargets[Target Amount],tblSalesTargets[MonthYear],A136,tblSalesTargets[Salesperson ID],C136)</f>
        <v>2640000</v>
      </c>
      <c r="G136" s="85">
        <f>SUMIFS(tblSalesTransactions[Sales Amount],tblSalesTransactions[Salesperson ID],C136,tblSalesTransactions[Date],"&gt;="&amp;DATE(YEAR(A136),MONTH(A136),1),tblSalesTransactions[Date],"&lt;"&amp;EDATE(A136,1))</f>
        <v>369750</v>
      </c>
      <c r="H136" s="85">
        <f t="shared" si="6"/>
        <v>-2270250</v>
      </c>
      <c r="I136" s="87">
        <f t="shared" si="7"/>
        <v>0.14005681818181817</v>
      </c>
      <c r="J136" s="74" t="str">
        <f>IF(I136&gt;='02_Control_Panel'!$B$8,"Achieved",IF(I136&gt;='02_Control_Panel'!$B$7,"Near Target","Below Target"))</f>
        <v>Below Target</v>
      </c>
    </row>
    <row r="137" spans="1:10">
      <c r="A137" s="8">
        <f t="shared" si="8"/>
        <v>46357</v>
      </c>
      <c r="B137" s="76">
        <f>ROUNDUP(ROWS($B$2:B137)/12,0)</f>
        <v>12</v>
      </c>
      <c r="C137" s="74" t="str">
        <f>"SP"&amp;TEXT(MOD(ROWS($C$2:C137)-1,12)+1,"000")</f>
        <v>SP004</v>
      </c>
      <c r="D137" s="74" t="s">
        <v>28</v>
      </c>
      <c r="E137" s="74" t="s">
        <v>8</v>
      </c>
      <c r="F137" s="86">
        <f>SUMIFS(tblSalesTargets[Target Amount],tblSalesTargets[MonthYear],A137,tblSalesTargets[Salesperson ID],C137)</f>
        <v>3240000</v>
      </c>
      <c r="G137" s="85">
        <f>SUMIFS(tblSalesTransactions[Sales Amount],tblSalesTransactions[Salesperson ID],C137,tblSalesTransactions[Date],"&gt;="&amp;DATE(YEAR(A137),MONTH(A137),1),tblSalesTransactions[Date],"&lt;"&amp;EDATE(A137,1))</f>
        <v>718000</v>
      </c>
      <c r="H137" s="85">
        <f t="shared" si="6"/>
        <v>-2522000</v>
      </c>
      <c r="I137" s="87">
        <f t="shared" si="7"/>
        <v>0.22160493827160493</v>
      </c>
      <c r="J137" s="74" t="str">
        <f>IF(I137&gt;='02_Control_Panel'!$B$8,"Achieved",IF(I137&gt;='02_Control_Panel'!$B$7,"Near Target","Below Target"))</f>
        <v>Below Target</v>
      </c>
    </row>
    <row r="138" spans="1:10">
      <c r="A138" s="8">
        <f t="shared" si="8"/>
        <v>46357</v>
      </c>
      <c r="B138" s="76">
        <f>ROUNDUP(ROWS($B$2:B138)/12,0)</f>
        <v>12</v>
      </c>
      <c r="C138" s="74" t="str">
        <f>"SP"&amp;TEXT(MOD(ROWS($C$2:C138)-1,12)+1,"000")</f>
        <v>SP005</v>
      </c>
      <c r="D138" s="74" t="s">
        <v>28</v>
      </c>
      <c r="E138" s="74" t="s">
        <v>8</v>
      </c>
      <c r="F138" s="86">
        <f>SUMIFS(tblSalesTargets[Target Amount],tblSalesTargets[MonthYear],A138,tblSalesTargets[Salesperson ID],C138)</f>
        <v>3000000</v>
      </c>
      <c r="G138" s="85">
        <f>SUMIFS(tblSalesTransactions[Sales Amount],tblSalesTransactions[Salesperson ID],C138,tblSalesTransactions[Date],"&gt;="&amp;DATE(YEAR(A138),MONTH(A138),1),tblSalesTransactions[Date],"&lt;"&amp;EDATE(A138,1))</f>
        <v>841500</v>
      </c>
      <c r="H138" s="85">
        <f t="shared" si="6"/>
        <v>-2158500</v>
      </c>
      <c r="I138" s="87">
        <f t="shared" si="7"/>
        <v>0.28050000000000003</v>
      </c>
      <c r="J138" s="74" t="str">
        <f>IF(I138&gt;='02_Control_Panel'!$B$8,"Achieved",IF(I138&gt;='02_Control_Panel'!$B$7,"Near Target","Below Target"))</f>
        <v>Below Target</v>
      </c>
    </row>
    <row r="139" spans="1:10">
      <c r="A139" s="8">
        <f t="shared" si="8"/>
        <v>46357</v>
      </c>
      <c r="B139" s="76">
        <f>ROUNDUP(ROWS($B$2:B139)/12,0)</f>
        <v>12</v>
      </c>
      <c r="C139" s="74" t="str">
        <f>"SP"&amp;TEXT(MOD(ROWS($C$2:C139)-1,12)+1,"000")</f>
        <v>SP006</v>
      </c>
      <c r="D139" s="74" t="s">
        <v>28</v>
      </c>
      <c r="E139" s="74" t="s">
        <v>8</v>
      </c>
      <c r="F139" s="86">
        <f>SUMIFS(tblSalesTargets[Target Amount],tblSalesTargets[MonthYear],A139,tblSalesTargets[Salesperson ID],C139)</f>
        <v>2760000</v>
      </c>
      <c r="G139" s="85">
        <f>SUMIFS(tblSalesTransactions[Sales Amount],tblSalesTransactions[Salesperson ID],C139,tblSalesTransactions[Date],"&gt;="&amp;DATE(YEAR(A139),MONTH(A139),1),tblSalesTransactions[Date],"&lt;"&amp;EDATE(A139,1))</f>
        <v>442750</v>
      </c>
      <c r="H139" s="85">
        <f t="shared" si="6"/>
        <v>-2317250</v>
      </c>
      <c r="I139" s="87">
        <f t="shared" si="7"/>
        <v>0.16041666666666668</v>
      </c>
      <c r="J139" s="74" t="str">
        <f>IF(I139&gt;='02_Control_Panel'!$B$8,"Achieved",IF(I139&gt;='02_Control_Panel'!$B$7,"Near Target","Below Target"))</f>
        <v>Below Target</v>
      </c>
    </row>
    <row r="140" spans="1:10">
      <c r="A140" s="8">
        <f t="shared" si="8"/>
        <v>46357</v>
      </c>
      <c r="B140" s="76">
        <f>ROUNDUP(ROWS($B$2:B140)/12,0)</f>
        <v>12</v>
      </c>
      <c r="C140" s="74" t="str">
        <f>"SP"&amp;TEXT(MOD(ROWS($C$2:C140)-1,12)+1,"000")</f>
        <v>SP007</v>
      </c>
      <c r="D140" s="74" t="s">
        <v>36</v>
      </c>
      <c r="E140" s="74" t="s">
        <v>11</v>
      </c>
      <c r="F140" s="86">
        <f>SUMIFS(tblSalesTargets[Target Amount],tblSalesTargets[MonthYear],A140,tblSalesTargets[Salesperson ID],C140)</f>
        <v>2880000</v>
      </c>
      <c r="G140" s="85">
        <f>SUMIFS(tblSalesTransactions[Sales Amount],tblSalesTransactions[Salesperson ID],C140,tblSalesTransactions[Date],"&gt;="&amp;DATE(YEAR(A140),MONTH(A140),1),tblSalesTransactions[Date],"&lt;"&amp;EDATE(A140,1))</f>
        <v>834000</v>
      </c>
      <c r="H140" s="85">
        <f t="shared" si="6"/>
        <v>-2046000</v>
      </c>
      <c r="I140" s="87">
        <f t="shared" si="7"/>
        <v>0.28958333333333336</v>
      </c>
      <c r="J140" s="74" t="str">
        <f>IF(I140&gt;='02_Control_Panel'!$B$8,"Achieved",IF(I140&gt;='02_Control_Panel'!$B$7,"Near Target","Below Target"))</f>
        <v>Below Target</v>
      </c>
    </row>
    <row r="141" spans="1:10">
      <c r="A141" s="8">
        <f t="shared" si="8"/>
        <v>46357</v>
      </c>
      <c r="B141" s="76">
        <f>ROUNDUP(ROWS($B$2:B141)/12,0)</f>
        <v>12</v>
      </c>
      <c r="C141" s="74" t="str">
        <f>"SP"&amp;TEXT(MOD(ROWS($C$2:C141)-1,12)+1,"000")</f>
        <v>SP008</v>
      </c>
      <c r="D141" s="74" t="s">
        <v>36</v>
      </c>
      <c r="E141" s="74" t="s">
        <v>11</v>
      </c>
      <c r="F141" s="86">
        <f>SUMIFS(tblSalesTargets[Target Amount],tblSalesTargets[MonthYear],A141,tblSalesTargets[Salesperson ID],C141)</f>
        <v>2640000</v>
      </c>
      <c r="G141" s="85">
        <f>SUMIFS(tblSalesTransactions[Sales Amount],tblSalesTransactions[Salesperson ID],C141,tblSalesTransactions[Date],"&gt;="&amp;DATE(YEAR(A141),MONTH(A141),1),tblSalesTransactions[Date],"&lt;"&amp;EDATE(A141,1))</f>
        <v>868500</v>
      </c>
      <c r="H141" s="85">
        <f t="shared" si="6"/>
        <v>-1771500</v>
      </c>
      <c r="I141" s="87">
        <f t="shared" si="7"/>
        <v>0.32897727272727273</v>
      </c>
      <c r="J141" s="74" t="str">
        <f>IF(I141&gt;='02_Control_Panel'!$B$8,"Achieved",IF(I141&gt;='02_Control_Panel'!$B$7,"Near Target","Below Target"))</f>
        <v>Below Target</v>
      </c>
    </row>
    <row r="142" spans="1:10">
      <c r="A142" s="8">
        <f t="shared" si="8"/>
        <v>46357</v>
      </c>
      <c r="B142" s="76">
        <f>ROUNDUP(ROWS($B$2:B142)/12,0)</f>
        <v>12</v>
      </c>
      <c r="C142" s="74" t="str">
        <f>"SP"&amp;TEXT(MOD(ROWS($C$2:C142)-1,12)+1,"000")</f>
        <v>SP009</v>
      </c>
      <c r="D142" s="74" t="s">
        <v>36</v>
      </c>
      <c r="E142" s="74" t="s">
        <v>11</v>
      </c>
      <c r="F142" s="86">
        <f>SUMIFS(tblSalesTargets[Target Amount],tblSalesTargets[MonthYear],A142,tblSalesTargets[Salesperson ID],C142)</f>
        <v>2520000</v>
      </c>
      <c r="G142" s="85">
        <f>SUMIFS(tblSalesTransactions[Sales Amount],tblSalesTransactions[Salesperson ID],C142,tblSalesTransactions[Date],"&gt;="&amp;DATE(YEAR(A142),MONTH(A142),1),tblSalesTransactions[Date],"&lt;"&amp;EDATE(A142,1))</f>
        <v>442500</v>
      </c>
      <c r="H142" s="85">
        <f t="shared" si="6"/>
        <v>-2077500</v>
      </c>
      <c r="I142" s="87">
        <f t="shared" si="7"/>
        <v>0.17559523809523808</v>
      </c>
      <c r="J142" s="74" t="str">
        <f>IF(I142&gt;='02_Control_Panel'!$B$8,"Achieved",IF(I142&gt;='02_Control_Panel'!$B$7,"Near Target","Below Target"))</f>
        <v>Below Target</v>
      </c>
    </row>
    <row r="143" spans="1:10">
      <c r="A143" s="8">
        <f t="shared" si="8"/>
        <v>46357</v>
      </c>
      <c r="B143" s="76">
        <f>ROUNDUP(ROWS($B$2:B143)/12,0)</f>
        <v>12</v>
      </c>
      <c r="C143" s="74" t="str">
        <f>"SP"&amp;TEXT(MOD(ROWS($C$2:C143)-1,12)+1,"000")</f>
        <v>SP010</v>
      </c>
      <c r="D143" s="74" t="s">
        <v>44</v>
      </c>
      <c r="E143" s="74" t="s">
        <v>14</v>
      </c>
      <c r="F143" s="86">
        <f>SUMIFS(tblSalesTargets[Target Amount],tblSalesTargets[MonthYear],A143,tblSalesTargets[Salesperson ID],C143)</f>
        <v>2640000</v>
      </c>
      <c r="G143" s="85">
        <f>SUMIFS(tblSalesTransactions[Sales Amount],tblSalesTransactions[Salesperson ID],C143,tblSalesTransactions[Date],"&gt;="&amp;DATE(YEAR(A143),MONTH(A143),1),tblSalesTransactions[Date],"&lt;"&amp;EDATE(A143,1))</f>
        <v>430250</v>
      </c>
      <c r="H143" s="85">
        <f t="shared" si="6"/>
        <v>-2209750</v>
      </c>
      <c r="I143" s="87">
        <f t="shared" si="7"/>
        <v>0.16297348484848484</v>
      </c>
      <c r="J143" s="74" t="str">
        <f>IF(I143&gt;='02_Control_Panel'!$B$8,"Achieved",IF(I143&gt;='02_Control_Panel'!$B$7,"Near Target","Below Target"))</f>
        <v>Below Target</v>
      </c>
    </row>
    <row r="144" spans="1:10">
      <c r="A144" s="8">
        <f t="shared" si="8"/>
        <v>46357</v>
      </c>
      <c r="B144" s="76">
        <f>ROUNDUP(ROWS($B$2:B144)/12,0)</f>
        <v>12</v>
      </c>
      <c r="C144" s="74" t="str">
        <f>"SP"&amp;TEXT(MOD(ROWS($C$2:C144)-1,12)+1,"000")</f>
        <v>SP011</v>
      </c>
      <c r="D144" s="74" t="s">
        <v>44</v>
      </c>
      <c r="E144" s="74" t="s">
        <v>14</v>
      </c>
      <c r="F144" s="86">
        <f>SUMIFS(tblSalesTargets[Target Amount],tblSalesTargets[MonthYear],A144,tblSalesTargets[Salesperson ID],C144)</f>
        <v>2400000</v>
      </c>
      <c r="G144" s="85">
        <f>SUMIFS(tblSalesTransactions[Sales Amount],tblSalesTransactions[Salesperson ID],C144,tblSalesTransactions[Date],"&gt;="&amp;DATE(YEAR(A144),MONTH(A144),1),tblSalesTransactions[Date],"&lt;"&amp;EDATE(A144,1))</f>
        <v>441500</v>
      </c>
      <c r="H144" s="85">
        <f t="shared" si="6"/>
        <v>-1958500</v>
      </c>
      <c r="I144" s="87">
        <f t="shared" si="7"/>
        <v>0.18395833333333333</v>
      </c>
      <c r="J144" s="74" t="str">
        <f>IF(I144&gt;='02_Control_Panel'!$B$8,"Achieved",IF(I144&gt;='02_Control_Panel'!$B$7,"Near Target","Below Target"))</f>
        <v>Below Target</v>
      </c>
    </row>
    <row r="145" spans="1:10">
      <c r="A145" s="8">
        <f t="shared" si="8"/>
        <v>46357</v>
      </c>
      <c r="B145" s="76">
        <f>ROUNDUP(ROWS($B$2:B145)/12,0)</f>
        <v>12</v>
      </c>
      <c r="C145" s="74" t="str">
        <f>"SP"&amp;TEXT(MOD(ROWS($C$2:C145)-1,12)+1,"000")</f>
        <v>SP012</v>
      </c>
      <c r="D145" s="74" t="s">
        <v>44</v>
      </c>
      <c r="E145" s="74" t="s">
        <v>14</v>
      </c>
      <c r="F145" s="86">
        <f>SUMIFS(tblSalesTargets[Target Amount],tblSalesTargets[MonthYear],A145,tblSalesTargets[Salesperson ID],C145)</f>
        <v>2280000</v>
      </c>
      <c r="G145" s="85">
        <f>SUMIFS(tblSalesTransactions[Sales Amount],tblSalesTransactions[Salesperson ID],C145,tblSalesTransactions[Date],"&gt;="&amp;DATE(YEAR(A145),MONTH(A145),1),tblSalesTransactions[Date],"&lt;"&amp;EDATE(A145,1))</f>
        <v>415250</v>
      </c>
      <c r="H145" s="85">
        <f t="shared" si="6"/>
        <v>-1864750</v>
      </c>
      <c r="I145" s="87">
        <f t="shared" si="7"/>
        <v>0.18212719298245614</v>
      </c>
      <c r="J145" s="74" t="str">
        <f>IF(I145&gt;='02_Control_Panel'!$B$8,"Achieved",IF(I145&gt;='02_Control_Panel'!$B$7,"Near Target","Below Target"))</f>
        <v>Below Target</v>
      </c>
    </row>
    <row r="146" spans="1:10">
      <c r="A146" s="7"/>
      <c r="B146" s="9"/>
      <c r="F146" s="86">
        <f>SUBTOTAL(109,tblPerformance[Target Amount])</f>
        <v>348075000</v>
      </c>
      <c r="G146" s="85">
        <f>SUBTOTAL(109,tblPerformance[Actual Sales])</f>
        <v>60255750</v>
      </c>
      <c r="H146" s="85">
        <f>SUBTOTAL(109,tblPerformance[SALES VARIANCE])</f>
        <v>-287819250</v>
      </c>
      <c r="I146" s="87">
        <f>IFERROR(SUM(tblPerformance[Actual Sales])/SUM(tblPerformance[Target Amount]),0)</f>
        <v>0.17311139840551606</v>
      </c>
    </row>
    <row r="147" spans="1:10">
      <c r="A147" s="7"/>
      <c r="F147" s="14"/>
      <c r="I147" s="13"/>
    </row>
    <row r="148" spans="1:10">
      <c r="A148" s="7"/>
      <c r="F148" s="14"/>
      <c r="I148" s="13"/>
    </row>
    <row r="149" spans="1:10">
      <c r="A149" s="7"/>
      <c r="F149" s="14"/>
      <c r="I149" s="13"/>
    </row>
    <row r="150" spans="1:10">
      <c r="A150" s="7"/>
      <c r="F150" s="14"/>
      <c r="I150" s="13"/>
    </row>
    <row r="151" spans="1:10">
      <c r="A151" s="7"/>
      <c r="F151" s="14"/>
      <c r="I151" s="13"/>
    </row>
    <row r="152" spans="1:10">
      <c r="A152" s="7"/>
      <c r="F152" s="14"/>
      <c r="I152" s="13"/>
    </row>
    <row r="153" spans="1:10">
      <c r="A153" s="7"/>
      <c r="F153" s="14"/>
      <c r="I153" s="13"/>
    </row>
    <row r="154" spans="1:10">
      <c r="A154" s="7"/>
      <c r="F154" s="14"/>
      <c r="I154" s="13"/>
    </row>
    <row r="155" spans="1:10">
      <c r="A155" s="7"/>
      <c r="F155" s="14"/>
      <c r="I155" s="13"/>
    </row>
    <row r="156" spans="1:10">
      <c r="A156" s="7"/>
      <c r="F156" s="14"/>
      <c r="I156" s="13"/>
    </row>
    <row r="157" spans="1:10">
      <c r="A157" s="7"/>
      <c r="F157" s="14"/>
      <c r="I157" s="13"/>
    </row>
    <row r="158" spans="1:10">
      <c r="A158" s="7"/>
      <c r="F158" s="14"/>
      <c r="I158" s="13"/>
    </row>
    <row r="159" spans="1:10">
      <c r="A159" s="7"/>
      <c r="F159" s="14"/>
      <c r="I159" s="13"/>
    </row>
    <row r="160" spans="1:10">
      <c r="A160" s="7"/>
      <c r="F160" s="14"/>
      <c r="I160" s="13"/>
    </row>
    <row r="161" spans="1:9">
      <c r="A161" s="7"/>
      <c r="F161" s="14"/>
      <c r="I161" s="13"/>
    </row>
    <row r="162" spans="1:9">
      <c r="A162" s="7"/>
      <c r="F162" s="14"/>
      <c r="I162" s="13"/>
    </row>
    <row r="163" spans="1:9">
      <c r="A163" s="7"/>
      <c r="F163" s="14"/>
      <c r="I163" s="13"/>
    </row>
    <row r="164" spans="1:9">
      <c r="A164" s="7"/>
      <c r="F164" s="14"/>
      <c r="I164" s="13"/>
    </row>
    <row r="165" spans="1:9">
      <c r="A165" s="7"/>
      <c r="F165" s="14"/>
      <c r="I165" s="13"/>
    </row>
    <row r="166" spans="1:9">
      <c r="A166" s="7"/>
      <c r="F166" s="14"/>
      <c r="I166" s="13"/>
    </row>
    <row r="167" spans="1:9">
      <c r="A167" s="7"/>
      <c r="F167" s="14"/>
      <c r="I167" s="13"/>
    </row>
    <row r="168" spans="1:9">
      <c r="A168" s="7"/>
      <c r="F168" s="14"/>
      <c r="I168" s="13"/>
    </row>
    <row r="169" spans="1:9">
      <c r="A169" s="7"/>
      <c r="F169" s="14"/>
      <c r="I169" s="13"/>
    </row>
    <row r="170" spans="1:9">
      <c r="A170" s="7"/>
      <c r="F170" s="14"/>
      <c r="I170" s="13"/>
    </row>
    <row r="171" spans="1:9">
      <c r="A171" s="7"/>
      <c r="F171" s="14"/>
      <c r="I171" s="13"/>
    </row>
    <row r="172" spans="1:9">
      <c r="A172" s="7"/>
      <c r="F172" s="14"/>
      <c r="I172" s="13"/>
    </row>
    <row r="173" spans="1:9">
      <c r="A173" s="7"/>
      <c r="F173" s="14"/>
      <c r="I173" s="13"/>
    </row>
    <row r="174" spans="1:9">
      <c r="A174" s="7"/>
      <c r="F174" s="14"/>
      <c r="I174" s="13"/>
    </row>
    <row r="175" spans="1:9">
      <c r="A175" s="7"/>
      <c r="F175" s="14"/>
      <c r="I175" s="13"/>
    </row>
    <row r="176" spans="1:9">
      <c r="A176" s="7"/>
      <c r="F176" s="14"/>
      <c r="I176" s="13"/>
    </row>
    <row r="177" spans="1:9">
      <c r="A177" s="7"/>
      <c r="F177" s="14"/>
      <c r="I177" s="13"/>
    </row>
    <row r="178" spans="1:9">
      <c r="A178" s="7"/>
      <c r="F178" s="14"/>
      <c r="I178" s="13"/>
    </row>
    <row r="179" spans="1:9">
      <c r="A179" s="7"/>
      <c r="F179" s="14"/>
      <c r="I179" s="13"/>
    </row>
    <row r="180" spans="1:9">
      <c r="A180" s="7"/>
      <c r="F180" s="14"/>
      <c r="I180" s="13"/>
    </row>
    <row r="181" spans="1:9">
      <c r="A181" s="7"/>
      <c r="F181" s="14"/>
      <c r="I181" s="13"/>
    </row>
    <row r="182" spans="1:9">
      <c r="A182" s="7"/>
      <c r="F182" s="14"/>
      <c r="I182" s="13"/>
    </row>
    <row r="183" spans="1:9">
      <c r="A183" s="7"/>
      <c r="F183" s="14"/>
      <c r="I183" s="13"/>
    </row>
    <row r="184" spans="1:9">
      <c r="A184" s="7"/>
      <c r="F184" s="14"/>
      <c r="I184" s="13"/>
    </row>
    <row r="185" spans="1:9">
      <c r="A185" s="7"/>
      <c r="F185" s="14"/>
      <c r="I185" s="13"/>
    </row>
    <row r="186" spans="1:9">
      <c r="A186" s="7"/>
      <c r="F186" s="14"/>
      <c r="I186" s="13"/>
    </row>
    <row r="187" spans="1:9">
      <c r="A187" s="7"/>
      <c r="F187" s="14"/>
      <c r="I187" s="13"/>
    </row>
    <row r="188" spans="1:9">
      <c r="A188" s="7"/>
      <c r="F188" s="14"/>
      <c r="I188" s="13"/>
    </row>
    <row r="189" spans="1:9">
      <c r="A189" s="7"/>
      <c r="F189" s="14"/>
      <c r="I189" s="13"/>
    </row>
    <row r="190" spans="1:9">
      <c r="A190" s="7"/>
      <c r="F190" s="14"/>
      <c r="I190" s="13"/>
    </row>
    <row r="191" spans="1:9">
      <c r="A191" s="7"/>
      <c r="F191" s="14"/>
      <c r="I191" s="13"/>
    </row>
    <row r="192" spans="1:9">
      <c r="A192" s="7"/>
      <c r="F192" s="14"/>
      <c r="I192" s="13"/>
    </row>
    <row r="193" spans="1:9">
      <c r="A193" s="7"/>
      <c r="F193" s="14"/>
      <c r="I193" s="13"/>
    </row>
    <row r="194" spans="1:9">
      <c r="A194" s="7"/>
      <c r="F194" s="14"/>
      <c r="I194" s="13"/>
    </row>
    <row r="195" spans="1:9">
      <c r="A195" s="7"/>
      <c r="F195" s="14"/>
      <c r="I195" s="13"/>
    </row>
    <row r="196" spans="1:9">
      <c r="A196" s="7"/>
      <c r="F196" s="14"/>
      <c r="I196" s="13"/>
    </row>
    <row r="197" spans="1:9">
      <c r="A197" s="7"/>
      <c r="F197" s="14"/>
      <c r="I197" s="13"/>
    </row>
    <row r="198" spans="1:9">
      <c r="A198" s="7"/>
      <c r="F198" s="14"/>
      <c r="I198" s="13"/>
    </row>
    <row r="199" spans="1:9">
      <c r="A199" s="7"/>
      <c r="F199" s="14"/>
      <c r="I199" s="13"/>
    </row>
    <row r="200" spans="1:9">
      <c r="A200" s="7"/>
      <c r="F200" s="14"/>
      <c r="I200" s="13"/>
    </row>
    <row r="201" spans="1:9">
      <c r="A201" s="7"/>
      <c r="F201" s="14"/>
      <c r="I201" s="13"/>
    </row>
    <row r="202" spans="1:9">
      <c r="A202" s="7"/>
      <c r="F202" s="14"/>
      <c r="I202" s="13"/>
    </row>
    <row r="203" spans="1:9">
      <c r="A203" s="7"/>
      <c r="F203" s="14"/>
      <c r="I203" s="13"/>
    </row>
    <row r="204" spans="1:9">
      <c r="A204" s="7"/>
      <c r="F204" s="14"/>
      <c r="I204" s="13"/>
    </row>
    <row r="205" spans="1:9">
      <c r="A205" s="7"/>
      <c r="F205" s="14"/>
      <c r="I205" s="13"/>
    </row>
    <row r="206" spans="1:9">
      <c r="A206" s="7"/>
      <c r="F206" s="14"/>
      <c r="I206" s="13"/>
    </row>
    <row r="207" spans="1:9">
      <c r="A207" s="7"/>
      <c r="F207" s="14"/>
      <c r="I207" s="13"/>
    </row>
    <row r="208" spans="1:9">
      <c r="A208" s="7"/>
      <c r="F208" s="14"/>
      <c r="I208" s="13"/>
    </row>
    <row r="209" spans="1:9">
      <c r="A209" s="7"/>
      <c r="F209" s="14"/>
      <c r="I209" s="13"/>
    </row>
    <row r="210" spans="1:9">
      <c r="A210" s="7"/>
      <c r="F210" s="14"/>
      <c r="I210" s="13"/>
    </row>
    <row r="211" spans="1:9">
      <c r="A211" s="7"/>
      <c r="F211" s="14"/>
      <c r="I211" s="13"/>
    </row>
    <row r="212" spans="1:9">
      <c r="A212" s="7"/>
      <c r="F212" s="14"/>
      <c r="I212" s="13"/>
    </row>
    <row r="213" spans="1:9">
      <c r="A213" s="7"/>
      <c r="F213" s="14"/>
      <c r="I213" s="13"/>
    </row>
    <row r="214" spans="1:9">
      <c r="A214" s="7"/>
      <c r="F214" s="14"/>
      <c r="I214" s="13"/>
    </row>
    <row r="215" spans="1:9">
      <c r="A215" s="7"/>
      <c r="F215" s="14"/>
      <c r="I215" s="13"/>
    </row>
    <row r="216" spans="1:9">
      <c r="A216" s="7"/>
      <c r="F216" s="14"/>
      <c r="I216" s="13"/>
    </row>
    <row r="217" spans="1:9">
      <c r="A217" s="7"/>
      <c r="F217" s="14"/>
      <c r="I217" s="13"/>
    </row>
    <row r="218" spans="1:9">
      <c r="A218" s="7"/>
      <c r="F218" s="14"/>
      <c r="I218" s="13"/>
    </row>
    <row r="219" spans="1:9">
      <c r="A219" s="7"/>
      <c r="F219" s="14"/>
      <c r="I219" s="13"/>
    </row>
    <row r="220" spans="1:9">
      <c r="A220" s="7"/>
      <c r="F220" s="14"/>
      <c r="I220" s="13"/>
    </row>
    <row r="221" spans="1:9">
      <c r="A221" s="7"/>
      <c r="F221" s="14"/>
      <c r="I221" s="13"/>
    </row>
    <row r="222" spans="1:9">
      <c r="A222" s="7"/>
      <c r="F222" s="14"/>
      <c r="I222" s="13"/>
    </row>
    <row r="223" spans="1:9">
      <c r="A223" s="7"/>
      <c r="F223" s="14"/>
      <c r="I223" s="13"/>
    </row>
    <row r="224" spans="1:9">
      <c r="A224" s="7"/>
      <c r="F224" s="14"/>
      <c r="I224" s="13"/>
    </row>
    <row r="225" spans="1:9">
      <c r="A225" s="7"/>
      <c r="F225" s="14"/>
      <c r="I225" s="13"/>
    </row>
    <row r="226" spans="1:9">
      <c r="A226" s="7"/>
      <c r="F226" s="14"/>
      <c r="I226" s="13"/>
    </row>
    <row r="227" spans="1:9">
      <c r="A227" s="7"/>
      <c r="F227" s="14"/>
      <c r="I227" s="13"/>
    </row>
    <row r="228" spans="1:9">
      <c r="A228" s="7"/>
      <c r="F228" s="14"/>
      <c r="I228" s="13"/>
    </row>
    <row r="229" spans="1:9">
      <c r="A229" s="7"/>
      <c r="F229" s="14"/>
      <c r="I229" s="13"/>
    </row>
    <row r="230" spans="1:9">
      <c r="A230" s="7"/>
      <c r="F230" s="14"/>
      <c r="I230" s="13"/>
    </row>
    <row r="231" spans="1:9">
      <c r="A231" s="7"/>
      <c r="F231" s="14"/>
      <c r="I231" s="13"/>
    </row>
    <row r="232" spans="1:9">
      <c r="A232" s="7"/>
      <c r="F232" s="14"/>
      <c r="I232" s="13"/>
    </row>
    <row r="233" spans="1:9">
      <c r="A233" s="7"/>
      <c r="F233" s="14"/>
      <c r="I233" s="13"/>
    </row>
    <row r="234" spans="1:9">
      <c r="A234" s="7"/>
      <c r="F234" s="14"/>
      <c r="I234" s="13"/>
    </row>
    <row r="235" spans="1:9">
      <c r="A235" s="7"/>
      <c r="F235" s="14"/>
      <c r="I235" s="13"/>
    </row>
    <row r="236" spans="1:9">
      <c r="A236" s="7"/>
      <c r="F236" s="14"/>
      <c r="I236" s="13"/>
    </row>
    <row r="237" spans="1:9">
      <c r="A237" s="7"/>
      <c r="F237" s="14"/>
      <c r="I237" s="13"/>
    </row>
    <row r="238" spans="1:9">
      <c r="A238" s="7"/>
      <c r="F238" s="14"/>
      <c r="I238" s="13"/>
    </row>
    <row r="239" spans="1:9">
      <c r="A239" s="7"/>
      <c r="F239" s="14"/>
      <c r="I239" s="13"/>
    </row>
    <row r="240" spans="1:9">
      <c r="A240" s="7"/>
      <c r="F240" s="14"/>
      <c r="I240" s="13"/>
    </row>
    <row r="241" spans="1:9">
      <c r="A241" s="7"/>
      <c r="F241" s="14"/>
      <c r="I241" s="13"/>
    </row>
    <row r="242" spans="1:9">
      <c r="A242" s="7"/>
      <c r="F242" s="14"/>
      <c r="I242" s="13"/>
    </row>
    <row r="243" spans="1:9">
      <c r="A243" s="7"/>
      <c r="F243" s="14"/>
      <c r="I243" s="13"/>
    </row>
    <row r="244" spans="1:9">
      <c r="A244" s="7"/>
      <c r="F244" s="14"/>
      <c r="I244" s="13"/>
    </row>
    <row r="245" spans="1:9">
      <c r="A245" s="7"/>
      <c r="F245" s="14"/>
      <c r="I245" s="13"/>
    </row>
    <row r="246" spans="1:9">
      <c r="A246" s="7"/>
      <c r="F246" s="14"/>
      <c r="I246" s="13"/>
    </row>
    <row r="247" spans="1:9">
      <c r="A247" s="7"/>
      <c r="F247" s="14"/>
      <c r="I247" s="13"/>
    </row>
    <row r="248" spans="1:9">
      <c r="A248" s="7"/>
      <c r="F248" s="14"/>
      <c r="I248" s="13"/>
    </row>
    <row r="249" spans="1:9">
      <c r="A249" s="7"/>
      <c r="F249" s="14"/>
      <c r="I249" s="13"/>
    </row>
    <row r="250" spans="1:9">
      <c r="A250" s="7"/>
      <c r="F250" s="14"/>
      <c r="I250" s="13"/>
    </row>
    <row r="251" spans="1:9">
      <c r="A251" s="7"/>
      <c r="F251" s="14"/>
      <c r="I251" s="13"/>
    </row>
    <row r="252" spans="1:9">
      <c r="A252" s="7"/>
      <c r="F252" s="14"/>
      <c r="I252" s="13"/>
    </row>
    <row r="253" spans="1:9">
      <c r="A253" s="7"/>
      <c r="F253" s="14"/>
      <c r="I253" s="13"/>
    </row>
    <row r="254" spans="1:9">
      <c r="A254" s="7"/>
      <c r="F254" s="14"/>
      <c r="I254" s="13"/>
    </row>
    <row r="255" spans="1:9">
      <c r="A255" s="7"/>
      <c r="F255" s="14"/>
      <c r="I255" s="13"/>
    </row>
    <row r="256" spans="1:9">
      <c r="A256" s="7"/>
      <c r="F256" s="14"/>
      <c r="I256" s="13"/>
    </row>
    <row r="257" spans="1:9">
      <c r="A257" s="7"/>
      <c r="F257" s="14"/>
      <c r="I257" s="13"/>
    </row>
    <row r="258" spans="1:9">
      <c r="A258" s="7"/>
      <c r="F258" s="14"/>
      <c r="I258" s="13"/>
    </row>
    <row r="259" spans="1:9">
      <c r="A259" s="7"/>
      <c r="F259" s="14"/>
      <c r="I259" s="13"/>
    </row>
    <row r="260" spans="1:9">
      <c r="A260" s="7"/>
      <c r="F260" s="14"/>
      <c r="I260" s="13"/>
    </row>
    <row r="261" spans="1:9">
      <c r="A261" s="7"/>
      <c r="F261" s="14"/>
      <c r="I261" s="13"/>
    </row>
    <row r="262" spans="1:9">
      <c r="A262" s="7"/>
      <c r="F262" s="14"/>
      <c r="I262" s="13"/>
    </row>
    <row r="263" spans="1:9">
      <c r="A263" s="7"/>
      <c r="F263" s="14"/>
      <c r="I263" s="13"/>
    </row>
    <row r="264" spans="1:9">
      <c r="A264" s="7"/>
      <c r="F264" s="14"/>
      <c r="I264" s="13"/>
    </row>
    <row r="265" spans="1:9">
      <c r="A265" s="7"/>
      <c r="F265" s="14"/>
      <c r="I265" s="13"/>
    </row>
    <row r="266" spans="1:9">
      <c r="A266" s="7"/>
      <c r="F266" s="14"/>
      <c r="I266" s="13"/>
    </row>
    <row r="267" spans="1:9">
      <c r="A267" s="7"/>
      <c r="F267" s="14"/>
      <c r="I267" s="13"/>
    </row>
    <row r="268" spans="1:9">
      <c r="A268" s="7"/>
      <c r="F268" s="14"/>
      <c r="I268" s="13"/>
    </row>
    <row r="269" spans="1:9">
      <c r="A269" s="7"/>
      <c r="F269" s="14"/>
      <c r="I269" s="13"/>
    </row>
    <row r="270" spans="1:9">
      <c r="A270" s="7"/>
      <c r="F270" s="14"/>
      <c r="I270" s="13"/>
    </row>
    <row r="271" spans="1:9">
      <c r="A271" s="7"/>
      <c r="F271" s="14"/>
      <c r="I271" s="13"/>
    </row>
    <row r="272" spans="1:9">
      <c r="A272" s="7"/>
      <c r="F272" s="14"/>
      <c r="I272" s="13"/>
    </row>
    <row r="273" spans="1:9">
      <c r="A273" s="7"/>
      <c r="F273" s="14"/>
      <c r="I273" s="13"/>
    </row>
    <row r="274" spans="1:9">
      <c r="A274" s="7"/>
      <c r="F274" s="14"/>
      <c r="I274" s="13"/>
    </row>
    <row r="275" spans="1:9">
      <c r="A275" s="7"/>
      <c r="F275" s="14"/>
      <c r="I275" s="13"/>
    </row>
    <row r="276" spans="1:9">
      <c r="A276" s="7"/>
      <c r="F276" s="14"/>
      <c r="I276" s="13"/>
    </row>
    <row r="277" spans="1:9">
      <c r="A277" s="7"/>
      <c r="F277" s="14"/>
      <c r="I277" s="13"/>
    </row>
    <row r="278" spans="1:9">
      <c r="A278" s="7"/>
      <c r="F278" s="14"/>
      <c r="I278" s="13"/>
    </row>
    <row r="279" spans="1:9">
      <c r="A279" s="7"/>
      <c r="F279" s="14"/>
      <c r="I279" s="13"/>
    </row>
    <row r="280" spans="1:9">
      <c r="A280" s="7"/>
      <c r="F280" s="14"/>
      <c r="I280" s="13"/>
    </row>
    <row r="281" spans="1:9">
      <c r="A281" s="7"/>
      <c r="F281" s="14"/>
      <c r="I281" s="13"/>
    </row>
    <row r="282" spans="1:9">
      <c r="A282" s="7"/>
      <c r="F282" s="14"/>
      <c r="I282" s="13"/>
    </row>
    <row r="283" spans="1:9">
      <c r="A283" s="7"/>
      <c r="F283" s="14"/>
      <c r="I283" s="13"/>
    </row>
    <row r="284" spans="1:9">
      <c r="A284" s="7"/>
      <c r="F284" s="14"/>
      <c r="I284" s="13"/>
    </row>
    <row r="285" spans="1:9">
      <c r="A285" s="7"/>
      <c r="F285" s="14"/>
      <c r="I285" s="13"/>
    </row>
    <row r="286" spans="1:9">
      <c r="A286" s="7"/>
      <c r="F286" s="14"/>
      <c r="I286" s="13"/>
    </row>
    <row r="287" spans="1:9">
      <c r="A287" s="7"/>
      <c r="F287" s="14"/>
      <c r="I287" s="13"/>
    </row>
    <row r="288" spans="1:9">
      <c r="A288" s="7"/>
      <c r="F288" s="14"/>
      <c r="I288" s="13"/>
    </row>
    <row r="289" spans="1:9">
      <c r="A289" s="7"/>
      <c r="F289" s="14"/>
      <c r="I289" s="13"/>
    </row>
    <row r="290" spans="1:9">
      <c r="A290" s="7"/>
      <c r="F290" s="14"/>
      <c r="I290" s="13"/>
    </row>
    <row r="291" spans="1:9">
      <c r="A291" s="7"/>
      <c r="F291" s="14"/>
      <c r="I291" s="13"/>
    </row>
    <row r="292" spans="1:9">
      <c r="A292" s="7"/>
      <c r="F292" s="14"/>
      <c r="I292" s="13"/>
    </row>
    <row r="293" spans="1:9">
      <c r="A293" s="7"/>
      <c r="F293" s="14"/>
      <c r="I293" s="13"/>
    </row>
    <row r="294" spans="1:9">
      <c r="A294" s="7"/>
      <c r="F294" s="14"/>
      <c r="I294" s="13"/>
    </row>
    <row r="295" spans="1:9">
      <c r="A295" s="7"/>
      <c r="F295" s="14"/>
      <c r="I295" s="13"/>
    </row>
    <row r="296" spans="1:9">
      <c r="A296" s="7"/>
      <c r="F296" s="14"/>
      <c r="I296" s="13"/>
    </row>
    <row r="297" spans="1:9">
      <c r="A297" s="7"/>
      <c r="F297" s="14"/>
      <c r="I297" s="13"/>
    </row>
    <row r="298" spans="1:9">
      <c r="A298" s="7"/>
      <c r="F298" s="14"/>
      <c r="I298" s="13"/>
    </row>
    <row r="299" spans="1:9">
      <c r="A299" s="7"/>
      <c r="F299" s="14"/>
      <c r="I299" s="13"/>
    </row>
    <row r="300" spans="1:9">
      <c r="A300" s="7"/>
      <c r="F300" s="14"/>
      <c r="I300" s="13"/>
    </row>
    <row r="301" spans="1:9">
      <c r="A301" s="7"/>
      <c r="F301" s="14"/>
      <c r="I301" s="13"/>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98F4-B18A-42C3-86C7-8968657D2D0F}">
  <dimension ref="A1:X152"/>
  <sheetViews>
    <sheetView workbookViewId="0"/>
  </sheetViews>
  <sheetFormatPr defaultRowHeight="15"/>
  <cols>
    <col min="1" max="1" width="13.28515625" bestFit="1" customWidth="1"/>
    <col min="2" max="2" width="12.28515625" bestFit="1" customWidth="1"/>
    <col min="3" max="3" width="16.42578125" bestFit="1" customWidth="1"/>
    <col min="4" max="4" width="9.5703125" bestFit="1" customWidth="1"/>
    <col min="5" max="5" width="9" bestFit="1" customWidth="1"/>
    <col min="6" max="6" width="16.5703125" bestFit="1" customWidth="1"/>
    <col min="7" max="7" width="13.85546875" bestFit="1" customWidth="1"/>
    <col min="8" max="8" width="18.140625" bestFit="1" customWidth="1"/>
    <col min="9" max="9" width="17.28515625" bestFit="1" customWidth="1"/>
    <col min="10" max="10" width="20.85546875" bestFit="1" customWidth="1"/>
    <col min="11" max="11" width="20.42578125" customWidth="1"/>
    <col min="13" max="13" width="22.140625" bestFit="1" customWidth="1"/>
    <col min="14" max="14" width="11.42578125" bestFit="1" customWidth="1"/>
    <col min="15" max="15" width="16.5703125" bestFit="1" customWidth="1"/>
    <col min="16" max="16" width="13.7109375" bestFit="1" customWidth="1"/>
    <col min="17" max="17" width="22.140625" bestFit="1" customWidth="1"/>
    <col min="21" max="21" width="10" bestFit="1" customWidth="1"/>
  </cols>
  <sheetData>
    <row r="1" spans="1:24">
      <c r="A1" s="16" t="s">
        <v>606</v>
      </c>
    </row>
    <row r="3" spans="1:24">
      <c r="A3" t="s">
        <v>207</v>
      </c>
      <c r="B3" t="s">
        <v>197</v>
      </c>
      <c r="C3" t="s">
        <v>18</v>
      </c>
      <c r="D3" t="s">
        <v>16</v>
      </c>
      <c r="E3" t="s">
        <v>0</v>
      </c>
      <c r="F3" t="s">
        <v>206</v>
      </c>
      <c r="G3" t="s">
        <v>599</v>
      </c>
      <c r="H3" t="s">
        <v>716</v>
      </c>
      <c r="I3" t="s">
        <v>600</v>
      </c>
      <c r="J3" t="s">
        <v>601</v>
      </c>
      <c r="M3" t="s">
        <v>607</v>
      </c>
      <c r="S3">
        <v>1</v>
      </c>
      <c r="T3">
        <v>2</v>
      </c>
      <c r="U3">
        <v>3</v>
      </c>
      <c r="V3">
        <v>4</v>
      </c>
      <c r="W3">
        <v>5</v>
      </c>
      <c r="X3">
        <v>6</v>
      </c>
    </row>
    <row r="4" spans="1:24">
      <c r="A4" s="88">
        <v>46023</v>
      </c>
      <c r="B4" s="74">
        <v>1</v>
      </c>
      <c r="C4" s="74" t="s">
        <v>22</v>
      </c>
      <c r="D4" s="74" t="s">
        <v>20</v>
      </c>
      <c r="E4" s="74" t="s">
        <v>4</v>
      </c>
      <c r="F4" s="85">
        <f>SUMIFS(tblSalesTargets[Target Amount],tblSalesTargets[MonthYear],A4,tblSalesTargets[Salesperson ID],C4)</f>
        <v>2500000</v>
      </c>
      <c r="G4" s="85">
        <f>SUMIFS(tblSalesTransactions[Sales Amount],tblSalesTransactions[Salesperson ID],C4,tblSalesTransactions[Date],"&gt;="&amp;A4,tblSalesTransactions[Date],"&lt;"&amp;EDATE(A4,1))</f>
        <v>350500</v>
      </c>
      <c r="H4" s="85">
        <f>G4-F4</f>
        <v>-2149500</v>
      </c>
      <c r="I4" s="87">
        <f>IFERROR(G4/F4,0)</f>
        <v>0.14019999999999999</v>
      </c>
      <c r="J4" s="74" t="str">
        <f>IF(I4&gt;=1,"Achieved",IF(I4&gt;=0.9,"Near Target","Below Target"))</f>
        <v>Below Target</v>
      </c>
      <c r="M4" t="s">
        <v>603</v>
      </c>
      <c r="N4" s="10">
        <f>SUM(tblTargetVsActual[Target Amount])</f>
        <v>348075000</v>
      </c>
      <c r="O4" s="10"/>
      <c r="P4" s="10"/>
      <c r="S4">
        <f>SUMIFS(tblSalesTargets[Target Amount],tblSalesTargets[MonthYear],A4,tblSalesTargets[Salesperson ID],C4)</f>
        <v>2500000</v>
      </c>
      <c r="T4">
        <f>SUMIFS(tblSalesTransactions[Sales Amount],tblSalesTransactions[Salesperson ID],C4,tblSalesTransactions[Date],"&gt;="&amp;A4,tblSalesTransactions[Date],"&lt;"&amp;EDATE(A4,1))</f>
        <v>350500</v>
      </c>
      <c r="U4" s="10">
        <f t="shared" ref="U4:U35" si="0">F4</f>
        <v>2500000</v>
      </c>
      <c r="V4" s="10">
        <f t="shared" ref="V4:V35" si="1">G4</f>
        <v>350500</v>
      </c>
      <c r="W4" t="b">
        <f>S4=U4</f>
        <v>1</v>
      </c>
      <c r="X4" t="b">
        <f>T4=V4</f>
        <v>1</v>
      </c>
    </row>
    <row r="5" spans="1:24">
      <c r="A5" s="88">
        <v>46023</v>
      </c>
      <c r="B5" s="74">
        <v>1</v>
      </c>
      <c r="C5" s="74" t="s">
        <v>24</v>
      </c>
      <c r="D5" s="74" t="s">
        <v>20</v>
      </c>
      <c r="E5" s="74" t="s">
        <v>4</v>
      </c>
      <c r="F5" s="85">
        <f>SUMIFS(tblSalesTargets[Target Amount],tblSalesTargets[MonthYear],A5,tblSalesTargets[Salesperson ID],C5)</f>
        <v>2300000</v>
      </c>
      <c r="G5" s="85">
        <f>SUMIFS(tblSalesTransactions[Sales Amount],tblSalesTransactions[Salesperson ID],C5,tblSalesTransactions[Date],"&gt;="&amp;A5,tblSalesTransactions[Date],"&lt;"&amp;EDATE(A5,1))</f>
        <v>375000</v>
      </c>
      <c r="H5" s="85">
        <f t="shared" ref="H5:H68" si="2">G5-F5</f>
        <v>-1925000</v>
      </c>
      <c r="I5" s="87">
        <f t="shared" ref="I5:I68" si="3">IFERROR(G5/F5,0)</f>
        <v>0.16304347826086957</v>
      </c>
      <c r="J5" s="74" t="str">
        <f t="shared" ref="J5:J68" si="4">IF(I5&gt;=1,"Achieved",IF(I5&gt;=0.9,"Near Target","Below Target"))</f>
        <v>Below Target</v>
      </c>
      <c r="M5" t="s">
        <v>608</v>
      </c>
      <c r="N5" s="10">
        <f>SUM(tblTargetVsActual[Actual Sales])</f>
        <v>60255750</v>
      </c>
      <c r="S5">
        <f>SUMIFS(tblSalesTargets[Target Amount],tblSalesTargets[MonthYear],A5,tblSalesTargets[Salesperson ID],C5)</f>
        <v>2300000</v>
      </c>
      <c r="T5">
        <f>SUMIFS(tblSalesTransactions[Sales Amount],tblSalesTransactions[Salesperson ID],C5,tblSalesTransactions[Date],"&gt;="&amp;A5,tblSalesTransactions[Date],"&lt;"&amp;EDATE(A5,1))</f>
        <v>375000</v>
      </c>
      <c r="U5" s="10">
        <f t="shared" si="0"/>
        <v>2300000</v>
      </c>
      <c r="V5" s="10">
        <f t="shared" si="1"/>
        <v>375000</v>
      </c>
      <c r="W5" t="b">
        <f t="shared" ref="W5:W68" si="5">S5=U5</f>
        <v>1</v>
      </c>
      <c r="X5" t="b">
        <f t="shared" ref="X5:X68" si="6">T5=V5</f>
        <v>1</v>
      </c>
    </row>
    <row r="6" spans="1:24">
      <c r="A6" s="88">
        <v>46023</v>
      </c>
      <c r="B6" s="74">
        <v>1</v>
      </c>
      <c r="C6" s="74" t="s">
        <v>26</v>
      </c>
      <c r="D6" s="74" t="s">
        <v>20</v>
      </c>
      <c r="E6" s="74" t="s">
        <v>4</v>
      </c>
      <c r="F6" s="85">
        <f>SUMIFS(tblSalesTargets[Target Amount],tblSalesTargets[MonthYear],A6,tblSalesTargets[Salesperson ID],C6)</f>
        <v>2200000</v>
      </c>
      <c r="G6" s="85">
        <f>SUMIFS(tblSalesTransactions[Sales Amount],tblSalesTransactions[Salesperson ID],C6,tblSalesTransactions[Date],"&gt;="&amp;A6,tblSalesTransactions[Date],"&lt;"&amp;EDATE(A6,1))</f>
        <v>371750</v>
      </c>
      <c r="H6" s="85">
        <f t="shared" si="2"/>
        <v>-1828250</v>
      </c>
      <c r="I6" s="87">
        <f t="shared" si="3"/>
        <v>0.16897727272727273</v>
      </c>
      <c r="J6" s="74" t="str">
        <f t="shared" si="4"/>
        <v>Below Target</v>
      </c>
      <c r="M6" t="s">
        <v>604</v>
      </c>
      <c r="N6" s="10">
        <f>N5-N4</f>
        <v>-287819250</v>
      </c>
      <c r="S6">
        <f>SUMIFS(tblSalesTargets[Target Amount],tblSalesTargets[MonthYear],A6,tblSalesTargets[Salesperson ID],C6)</f>
        <v>2200000</v>
      </c>
      <c r="T6">
        <f>SUMIFS(tblSalesTransactions[Sales Amount],tblSalesTransactions[Salesperson ID],C6,tblSalesTransactions[Date],"&gt;="&amp;A6,tblSalesTransactions[Date],"&lt;"&amp;EDATE(A6,1))</f>
        <v>371750</v>
      </c>
      <c r="U6" s="10">
        <f t="shared" si="0"/>
        <v>2200000</v>
      </c>
      <c r="V6" s="10">
        <f t="shared" si="1"/>
        <v>371750</v>
      </c>
      <c r="W6" t="b">
        <f t="shared" si="5"/>
        <v>1</v>
      </c>
      <c r="X6" t="b">
        <f t="shared" si="6"/>
        <v>1</v>
      </c>
    </row>
    <row r="7" spans="1:24">
      <c r="A7" s="88">
        <v>46023</v>
      </c>
      <c r="B7" s="74">
        <v>1</v>
      </c>
      <c r="C7" s="74" t="s">
        <v>30</v>
      </c>
      <c r="D7" s="74" t="s">
        <v>28</v>
      </c>
      <c r="E7" s="74" t="s">
        <v>8</v>
      </c>
      <c r="F7" s="85">
        <f>SUMIFS(tblSalesTargets[Target Amount],tblSalesTargets[MonthYear],A7,tblSalesTargets[Salesperson ID],C7)</f>
        <v>2700000</v>
      </c>
      <c r="G7" s="85">
        <f>SUMIFS(tblSalesTransactions[Sales Amount],tblSalesTransactions[Salesperson ID],C7,tblSalesTransactions[Date],"&gt;="&amp;A7,tblSalesTransactions[Date],"&lt;"&amp;EDATE(A7,1))</f>
        <v>648000</v>
      </c>
      <c r="H7" s="85">
        <f t="shared" si="2"/>
        <v>-2052000</v>
      </c>
      <c r="I7" s="87">
        <f t="shared" si="3"/>
        <v>0.24</v>
      </c>
      <c r="J7" s="74" t="str">
        <f t="shared" si="4"/>
        <v>Below Target</v>
      </c>
      <c r="M7" t="s">
        <v>605</v>
      </c>
      <c r="N7" s="13">
        <f>IFERROR(N5/N4,0)</f>
        <v>0.17311139840551606</v>
      </c>
      <c r="S7">
        <f>SUMIFS(tblSalesTargets[Target Amount],tblSalesTargets[MonthYear],A7,tblSalesTargets[Salesperson ID],C7)</f>
        <v>2700000</v>
      </c>
      <c r="T7">
        <f>SUMIFS(tblSalesTransactions[Sales Amount],tblSalesTransactions[Salesperson ID],C7,tblSalesTransactions[Date],"&gt;="&amp;A7,tblSalesTransactions[Date],"&lt;"&amp;EDATE(A7,1))</f>
        <v>648000</v>
      </c>
      <c r="U7" s="10">
        <f t="shared" si="0"/>
        <v>2700000</v>
      </c>
      <c r="V7" s="10">
        <f t="shared" si="1"/>
        <v>648000</v>
      </c>
      <c r="W7" t="b">
        <f t="shared" si="5"/>
        <v>1</v>
      </c>
      <c r="X7" t="b">
        <f t="shared" si="6"/>
        <v>1</v>
      </c>
    </row>
    <row r="8" spans="1:24">
      <c r="A8" s="88">
        <v>46023</v>
      </c>
      <c r="B8" s="74">
        <v>1</v>
      </c>
      <c r="C8" s="74" t="s">
        <v>32</v>
      </c>
      <c r="D8" s="74" t="s">
        <v>28</v>
      </c>
      <c r="E8" s="74" t="s">
        <v>8</v>
      </c>
      <c r="F8" s="85">
        <f>SUMIFS(tblSalesTargets[Target Amount],tblSalesTargets[MonthYear],A8,tblSalesTargets[Salesperson ID],C8)</f>
        <v>2500000</v>
      </c>
      <c r="G8" s="85">
        <f>SUMIFS(tblSalesTransactions[Sales Amount],tblSalesTransactions[Salesperson ID],C8,tblSalesTransactions[Date],"&gt;="&amp;A8,tblSalesTransactions[Date],"&lt;"&amp;EDATE(A8,1))</f>
        <v>626000</v>
      </c>
      <c r="H8" s="85">
        <f t="shared" si="2"/>
        <v>-1874000</v>
      </c>
      <c r="I8" s="87">
        <f t="shared" si="3"/>
        <v>0.25040000000000001</v>
      </c>
      <c r="J8" s="74" t="str">
        <f t="shared" si="4"/>
        <v>Below Target</v>
      </c>
      <c r="S8">
        <f>SUMIFS(tblSalesTargets[Target Amount],tblSalesTargets[MonthYear],A8,tblSalesTargets[Salesperson ID],C8)</f>
        <v>2500000</v>
      </c>
      <c r="T8">
        <f>SUMIFS(tblSalesTransactions[Sales Amount],tblSalesTransactions[Salesperson ID],C8,tblSalesTransactions[Date],"&gt;="&amp;A8,tblSalesTransactions[Date],"&lt;"&amp;EDATE(A8,1))</f>
        <v>626000</v>
      </c>
      <c r="U8" s="10">
        <f t="shared" si="0"/>
        <v>2500000</v>
      </c>
      <c r="V8" s="10">
        <f t="shared" si="1"/>
        <v>626000</v>
      </c>
      <c r="W8" t="b">
        <f t="shared" si="5"/>
        <v>1</v>
      </c>
      <c r="X8" t="b">
        <f t="shared" si="6"/>
        <v>1</v>
      </c>
    </row>
    <row r="9" spans="1:24">
      <c r="A9" s="88">
        <v>46023</v>
      </c>
      <c r="B9" s="74">
        <v>1</v>
      </c>
      <c r="C9" s="74" t="s">
        <v>34</v>
      </c>
      <c r="D9" s="74" t="s">
        <v>28</v>
      </c>
      <c r="E9" s="74" t="s">
        <v>8</v>
      </c>
      <c r="F9" s="85">
        <f>SUMIFS(tblSalesTargets[Target Amount],tblSalesTargets[MonthYear],A9,tblSalesTargets[Salesperson ID],C9)</f>
        <v>2300000</v>
      </c>
      <c r="G9" s="85">
        <f>SUMIFS(tblSalesTransactions[Sales Amount],tblSalesTransactions[Salesperson ID],C9,tblSalesTransactions[Date],"&gt;="&amp;A9,tblSalesTransactions[Date],"&lt;"&amp;EDATE(A9,1))</f>
        <v>464500</v>
      </c>
      <c r="H9" s="85">
        <f t="shared" si="2"/>
        <v>-1835500</v>
      </c>
      <c r="I9" s="87">
        <f t="shared" si="3"/>
        <v>0.20195652173913042</v>
      </c>
      <c r="J9" s="74" t="str">
        <f t="shared" si="4"/>
        <v>Below Target</v>
      </c>
      <c r="S9">
        <f>SUMIFS(tblSalesTargets[Target Amount],tblSalesTargets[MonthYear],A9,tblSalesTargets[Salesperson ID],C9)</f>
        <v>2300000</v>
      </c>
      <c r="T9">
        <f>SUMIFS(tblSalesTransactions[Sales Amount],tblSalesTransactions[Salesperson ID],C9,tblSalesTransactions[Date],"&gt;="&amp;A9,tblSalesTransactions[Date],"&lt;"&amp;EDATE(A9,1))</f>
        <v>464500</v>
      </c>
      <c r="U9" s="10">
        <f t="shared" si="0"/>
        <v>2300000</v>
      </c>
      <c r="V9" s="10">
        <f t="shared" si="1"/>
        <v>464500</v>
      </c>
      <c r="W9" t="b">
        <f t="shared" si="5"/>
        <v>1</v>
      </c>
      <c r="X9" t="b">
        <f t="shared" si="6"/>
        <v>1</v>
      </c>
    </row>
    <row r="10" spans="1:24">
      <c r="A10" s="88">
        <v>46023</v>
      </c>
      <c r="B10" s="74">
        <v>1</v>
      </c>
      <c r="C10" s="74" t="s">
        <v>38</v>
      </c>
      <c r="D10" s="74" t="s">
        <v>36</v>
      </c>
      <c r="E10" s="74" t="s">
        <v>11</v>
      </c>
      <c r="F10" s="85">
        <f>SUMIFS(tblSalesTargets[Target Amount],tblSalesTargets[MonthYear],A10,tblSalesTargets[Salesperson ID],C10)</f>
        <v>2400000</v>
      </c>
      <c r="G10" s="85">
        <f>SUMIFS(tblSalesTransactions[Sales Amount],tblSalesTransactions[Salesperson ID],C10,tblSalesTransactions[Date],"&gt;="&amp;A10,tblSalesTransactions[Date],"&lt;"&amp;EDATE(A10,1))</f>
        <v>638000</v>
      </c>
      <c r="H10" s="85">
        <f t="shared" si="2"/>
        <v>-1762000</v>
      </c>
      <c r="I10" s="87">
        <f t="shared" si="3"/>
        <v>0.26583333333333331</v>
      </c>
      <c r="J10" s="74" t="str">
        <f t="shared" si="4"/>
        <v>Below Target</v>
      </c>
      <c r="M10" s="2" t="s">
        <v>207</v>
      </c>
      <c r="N10" s="5" t="s">
        <v>602</v>
      </c>
      <c r="O10" s="5" t="s">
        <v>599</v>
      </c>
      <c r="P10" s="19" t="s">
        <v>681</v>
      </c>
      <c r="Q10" s="5" t="s">
        <v>600</v>
      </c>
      <c r="S10">
        <f>SUMIFS(tblSalesTargets[Target Amount],tblSalesTargets[MonthYear],A10,tblSalesTargets[Salesperson ID],C10)</f>
        <v>2400000</v>
      </c>
      <c r="T10">
        <f>SUMIFS(tblSalesTransactions[Sales Amount],tblSalesTransactions[Salesperson ID],C10,tblSalesTransactions[Date],"&gt;="&amp;A10,tblSalesTransactions[Date],"&lt;"&amp;EDATE(A10,1))</f>
        <v>638000</v>
      </c>
      <c r="U10" s="10">
        <f t="shared" si="0"/>
        <v>2400000</v>
      </c>
      <c r="V10" s="10">
        <f t="shared" si="1"/>
        <v>638000</v>
      </c>
      <c r="W10" t="b">
        <f t="shared" si="5"/>
        <v>1</v>
      </c>
      <c r="X10" t="b">
        <f t="shared" si="6"/>
        <v>1</v>
      </c>
    </row>
    <row r="11" spans="1:24">
      <c r="A11" s="88">
        <v>46023</v>
      </c>
      <c r="B11" s="74">
        <v>1</v>
      </c>
      <c r="C11" s="74" t="s">
        <v>40</v>
      </c>
      <c r="D11" s="74" t="s">
        <v>36</v>
      </c>
      <c r="E11" s="74" t="s">
        <v>11</v>
      </c>
      <c r="F11" s="85">
        <f>SUMIFS(tblSalesTargets[Target Amount],tblSalesTargets[MonthYear],A11,tblSalesTargets[Salesperson ID],C11)</f>
        <v>2200000</v>
      </c>
      <c r="G11" s="85">
        <f>SUMIFS(tblSalesTransactions[Sales Amount],tblSalesTransactions[Salesperson ID],C11,tblSalesTransactions[Date],"&gt;="&amp;A11,tblSalesTransactions[Date],"&lt;"&amp;EDATE(A11,1))</f>
        <v>591000</v>
      </c>
      <c r="H11" s="85">
        <f t="shared" si="2"/>
        <v>-1609000</v>
      </c>
      <c r="I11" s="87">
        <f t="shared" si="3"/>
        <v>0.26863636363636362</v>
      </c>
      <c r="J11" s="74" t="str">
        <f t="shared" si="4"/>
        <v>Below Target</v>
      </c>
      <c r="M11" s="15">
        <f>DATE(2026,1,1)</f>
        <v>46023</v>
      </c>
      <c r="N11">
        <f>SUMIFS(tblTargetVsActual[Target Amount],tblTargetVsActual[MonthYear],M11)</f>
        <v>27300000</v>
      </c>
      <c r="O11">
        <f>SUMIFS(tblTargetVsActual[Actual Sales],tblTargetVsActual[MonthYear],M11)</f>
        <v>5691250</v>
      </c>
      <c r="P11">
        <f>O11-N11</f>
        <v>-21608750</v>
      </c>
      <c r="Q11" s="13">
        <f>IFERROR(O11/N11,0)</f>
        <v>0.20847069597069598</v>
      </c>
      <c r="S11">
        <f>SUMIFS(tblSalesTargets[Target Amount],tblSalesTargets[MonthYear],A11,tblSalesTargets[Salesperson ID],C11)</f>
        <v>2200000</v>
      </c>
      <c r="T11">
        <f>SUMIFS(tblSalesTransactions[Sales Amount],tblSalesTransactions[Salesperson ID],C11,tblSalesTransactions[Date],"&gt;="&amp;A11,tblSalesTransactions[Date],"&lt;"&amp;EDATE(A11,1))</f>
        <v>591000</v>
      </c>
      <c r="U11" s="10">
        <f t="shared" si="0"/>
        <v>2200000</v>
      </c>
      <c r="V11" s="10">
        <f t="shared" si="1"/>
        <v>591000</v>
      </c>
      <c r="W11" t="b">
        <f t="shared" si="5"/>
        <v>1</v>
      </c>
      <c r="X11" t="b">
        <f t="shared" si="6"/>
        <v>1</v>
      </c>
    </row>
    <row r="12" spans="1:24">
      <c r="A12" s="88">
        <v>46023</v>
      </c>
      <c r="B12" s="74">
        <v>1</v>
      </c>
      <c r="C12" s="74" t="s">
        <v>42</v>
      </c>
      <c r="D12" s="74" t="s">
        <v>36</v>
      </c>
      <c r="E12" s="74" t="s">
        <v>11</v>
      </c>
      <c r="F12" s="85">
        <f>SUMIFS(tblSalesTargets[Target Amount],tblSalesTargets[MonthYear],A12,tblSalesTargets[Salesperson ID],C12)</f>
        <v>2100000</v>
      </c>
      <c r="G12" s="85">
        <f>SUMIFS(tblSalesTransactions[Sales Amount],tblSalesTransactions[Salesperson ID],C12,tblSalesTransactions[Date],"&gt;="&amp;A12,tblSalesTransactions[Date],"&lt;"&amp;EDATE(A12,1))</f>
        <v>456000</v>
      </c>
      <c r="H12" s="85">
        <f t="shared" si="2"/>
        <v>-1644000</v>
      </c>
      <c r="I12" s="87">
        <f t="shared" si="3"/>
        <v>0.21714285714285714</v>
      </c>
      <c r="J12" s="74" t="str">
        <f t="shared" si="4"/>
        <v>Below Target</v>
      </c>
      <c r="M12" s="15">
        <f>EDATE(M11,1)</f>
        <v>46054</v>
      </c>
      <c r="N12">
        <f>SUMIFS(tblTargetVsActual[Target Amount],tblTargetVsActual[MonthYear],M12)</f>
        <v>28119000</v>
      </c>
      <c r="O12">
        <f>SUMIFS(tblTargetVsActual[Actual Sales],tblTargetVsActual[MonthYear],M12)</f>
        <v>4273750</v>
      </c>
      <c r="P12">
        <f t="shared" ref="P12:P22" si="7">O12-N12</f>
        <v>-23845250</v>
      </c>
      <c r="Q12" s="13">
        <f t="shared" ref="Q12:Q22" si="8">IFERROR(O12/N12,0)</f>
        <v>0.15198797965788258</v>
      </c>
      <c r="S12">
        <f>SUMIFS(tblSalesTargets[Target Amount],tblSalesTargets[MonthYear],A12,tblSalesTargets[Salesperson ID],C12)</f>
        <v>2100000</v>
      </c>
      <c r="T12">
        <f>SUMIFS(tblSalesTransactions[Sales Amount],tblSalesTransactions[Salesperson ID],C12,tblSalesTransactions[Date],"&gt;="&amp;A12,tblSalesTransactions[Date],"&lt;"&amp;EDATE(A12,1))</f>
        <v>456000</v>
      </c>
      <c r="U12" s="10">
        <f t="shared" si="0"/>
        <v>2100000</v>
      </c>
      <c r="V12" s="10">
        <f t="shared" si="1"/>
        <v>456000</v>
      </c>
      <c r="W12" t="b">
        <f t="shared" si="5"/>
        <v>1</v>
      </c>
      <c r="X12" t="b">
        <f t="shared" si="6"/>
        <v>1</v>
      </c>
    </row>
    <row r="13" spans="1:24">
      <c r="A13" s="88">
        <v>46023</v>
      </c>
      <c r="B13" s="74">
        <v>1</v>
      </c>
      <c r="C13" s="74" t="s">
        <v>46</v>
      </c>
      <c r="D13" s="74" t="s">
        <v>44</v>
      </c>
      <c r="E13" s="74" t="s">
        <v>14</v>
      </c>
      <c r="F13" s="85">
        <f>SUMIFS(tblSalesTargets[Target Amount],tblSalesTargets[MonthYear],A13,tblSalesTargets[Salesperson ID],C13)</f>
        <v>2200000</v>
      </c>
      <c r="G13" s="85">
        <f>SUMIFS(tblSalesTransactions[Sales Amount],tblSalesTransactions[Salesperson ID],C13,tblSalesTransactions[Date],"&gt;="&amp;A13,tblSalesTransactions[Date],"&lt;"&amp;EDATE(A13,1))</f>
        <v>379500</v>
      </c>
      <c r="H13" s="85">
        <f t="shared" si="2"/>
        <v>-1820500</v>
      </c>
      <c r="I13" s="87">
        <f t="shared" si="3"/>
        <v>0.17249999999999999</v>
      </c>
      <c r="J13" s="74" t="str">
        <f t="shared" si="4"/>
        <v>Below Target</v>
      </c>
      <c r="M13" s="15">
        <f t="shared" ref="M13:M22" si="9">EDATE(M12,1)</f>
        <v>46082</v>
      </c>
      <c r="N13">
        <f>SUMIFS(tblTargetVsActual[Target Amount],tblTargetVsActual[MonthYear],M13)</f>
        <v>28665000</v>
      </c>
      <c r="O13">
        <f>SUMIFS(tblTargetVsActual[Actual Sales],tblTargetVsActual[MonthYear],M13)</f>
        <v>4507750</v>
      </c>
      <c r="P13">
        <f t="shared" si="7"/>
        <v>-24157250</v>
      </c>
      <c r="Q13" s="13">
        <f t="shared" si="8"/>
        <v>0.1572562358276644</v>
      </c>
      <c r="S13">
        <f>SUMIFS(tblSalesTargets[Target Amount],tblSalesTargets[MonthYear],A13,tblSalesTargets[Salesperson ID],C13)</f>
        <v>2200000</v>
      </c>
      <c r="T13">
        <f>SUMIFS(tblSalesTransactions[Sales Amount],tblSalesTransactions[Salesperson ID],C13,tblSalesTransactions[Date],"&gt;="&amp;A13,tblSalesTransactions[Date],"&lt;"&amp;EDATE(A13,1))</f>
        <v>379500</v>
      </c>
      <c r="U13" s="10">
        <f t="shared" si="0"/>
        <v>2200000</v>
      </c>
      <c r="V13" s="10">
        <f t="shared" si="1"/>
        <v>379500</v>
      </c>
      <c r="W13" t="b">
        <f t="shared" si="5"/>
        <v>1</v>
      </c>
      <c r="X13" t="b">
        <f t="shared" si="6"/>
        <v>1</v>
      </c>
    </row>
    <row r="14" spans="1:24">
      <c r="A14" s="88">
        <v>46023</v>
      </c>
      <c r="B14" s="74">
        <v>1</v>
      </c>
      <c r="C14" s="74" t="s">
        <v>48</v>
      </c>
      <c r="D14" s="74" t="s">
        <v>44</v>
      </c>
      <c r="E14" s="74" t="s">
        <v>14</v>
      </c>
      <c r="F14" s="85">
        <f>SUMIFS(tblSalesTargets[Target Amount],tblSalesTargets[MonthYear],A14,tblSalesTargets[Salesperson ID],C14)</f>
        <v>2000000</v>
      </c>
      <c r="G14" s="85">
        <f>SUMIFS(tblSalesTransactions[Sales Amount],tblSalesTransactions[Salesperson ID],C14,tblSalesTransactions[Date],"&gt;="&amp;A14,tblSalesTransactions[Date],"&lt;"&amp;EDATE(A14,1))</f>
        <v>387000</v>
      </c>
      <c r="H14" s="85">
        <f t="shared" si="2"/>
        <v>-1613000</v>
      </c>
      <c r="I14" s="87">
        <f t="shared" si="3"/>
        <v>0.19350000000000001</v>
      </c>
      <c r="J14" s="74" t="str">
        <f t="shared" si="4"/>
        <v>Below Target</v>
      </c>
      <c r="M14" s="15">
        <f t="shared" si="9"/>
        <v>46113</v>
      </c>
      <c r="N14">
        <f>SUMIFS(tblTargetVsActual[Target Amount],tblTargetVsActual[MonthYear],M14)</f>
        <v>26754000</v>
      </c>
      <c r="O14">
        <f>SUMIFS(tblTargetVsActual[Actual Sales],tblTargetVsActual[MonthYear],M14)</f>
        <v>3900000</v>
      </c>
      <c r="P14">
        <f t="shared" si="7"/>
        <v>-22854000</v>
      </c>
      <c r="Q14" s="13">
        <f t="shared" si="8"/>
        <v>0.1457725947521866</v>
      </c>
      <c r="S14">
        <f>SUMIFS(tblSalesTargets[Target Amount],tblSalesTargets[MonthYear],A14,tblSalesTargets[Salesperson ID],C14)</f>
        <v>2000000</v>
      </c>
      <c r="T14">
        <f>SUMIFS(tblSalesTransactions[Sales Amount],tblSalesTransactions[Salesperson ID],C14,tblSalesTransactions[Date],"&gt;="&amp;A14,tblSalesTransactions[Date],"&lt;"&amp;EDATE(A14,1))</f>
        <v>387000</v>
      </c>
      <c r="U14" s="10">
        <f t="shared" si="0"/>
        <v>2000000</v>
      </c>
      <c r="V14" s="10">
        <f t="shared" si="1"/>
        <v>387000</v>
      </c>
      <c r="W14" t="b">
        <f t="shared" si="5"/>
        <v>1</v>
      </c>
      <c r="X14" t="b">
        <f t="shared" si="6"/>
        <v>1</v>
      </c>
    </row>
    <row r="15" spans="1:24">
      <c r="A15" s="88">
        <v>46023</v>
      </c>
      <c r="B15" s="74">
        <v>1</v>
      </c>
      <c r="C15" s="74" t="s">
        <v>50</v>
      </c>
      <c r="D15" s="74" t="s">
        <v>44</v>
      </c>
      <c r="E15" s="74" t="s">
        <v>14</v>
      </c>
      <c r="F15" s="85">
        <f>SUMIFS(tblSalesTargets[Target Amount],tblSalesTargets[MonthYear],A15,tblSalesTargets[Salesperson ID],C15)</f>
        <v>1900000</v>
      </c>
      <c r="G15" s="85">
        <f>SUMIFS(tblSalesTransactions[Sales Amount],tblSalesTransactions[Salesperson ID],C15,tblSalesTransactions[Date],"&gt;="&amp;A15,tblSalesTransactions[Date],"&lt;"&amp;EDATE(A15,1))</f>
        <v>404000</v>
      </c>
      <c r="H15" s="85">
        <f t="shared" si="2"/>
        <v>-1496000</v>
      </c>
      <c r="I15" s="87">
        <f t="shared" si="3"/>
        <v>0.21263157894736842</v>
      </c>
      <c r="J15" s="74" t="str">
        <f t="shared" si="4"/>
        <v>Below Target</v>
      </c>
      <c r="M15" s="15">
        <f t="shared" si="9"/>
        <v>46143</v>
      </c>
      <c r="N15">
        <f>SUMIFS(tblTargetVsActual[Target Amount],tblTargetVsActual[MonthYear],M15)</f>
        <v>27846000</v>
      </c>
      <c r="O15">
        <f>SUMIFS(tblTargetVsActual[Actual Sales],tblTargetVsActual[MonthYear],M15)</f>
        <v>4602250</v>
      </c>
      <c r="P15">
        <f t="shared" si="7"/>
        <v>-23243750</v>
      </c>
      <c r="Q15" s="13">
        <f t="shared" si="8"/>
        <v>0.16527508439273145</v>
      </c>
      <c r="S15">
        <f>SUMIFS(tblSalesTargets[Target Amount],tblSalesTargets[MonthYear],A15,tblSalesTargets[Salesperson ID],C15)</f>
        <v>1900000</v>
      </c>
      <c r="T15">
        <f>SUMIFS(tblSalesTransactions[Sales Amount],tblSalesTransactions[Salesperson ID],C15,tblSalesTransactions[Date],"&gt;="&amp;A15,tblSalesTransactions[Date],"&lt;"&amp;EDATE(A15,1))</f>
        <v>404000</v>
      </c>
      <c r="U15" s="10">
        <f t="shared" si="0"/>
        <v>1900000</v>
      </c>
      <c r="V15" s="10">
        <f t="shared" si="1"/>
        <v>404000</v>
      </c>
      <c r="W15" t="b">
        <f t="shared" si="5"/>
        <v>1</v>
      </c>
      <c r="X15" t="b">
        <f t="shared" si="6"/>
        <v>1</v>
      </c>
    </row>
    <row r="16" spans="1:24">
      <c r="A16" s="88">
        <v>46054</v>
      </c>
      <c r="B16" s="74">
        <v>2</v>
      </c>
      <c r="C16" s="74" t="s">
        <v>22</v>
      </c>
      <c r="D16" s="74" t="s">
        <v>20</v>
      </c>
      <c r="E16" s="74" t="s">
        <v>4</v>
      </c>
      <c r="F16" s="85">
        <f>SUMIFS(tblSalesTargets[Target Amount],tblSalesTargets[MonthYear],A16,tblSalesTargets[Salesperson ID],C16)</f>
        <v>2575000</v>
      </c>
      <c r="G16" s="85">
        <f>SUMIFS(tblSalesTransactions[Sales Amount],tblSalesTransactions[Salesperson ID],C16,tblSalesTransactions[Date],"&gt;="&amp;A16,tblSalesTransactions[Date],"&lt;"&amp;EDATE(A16,1))</f>
        <v>236500</v>
      </c>
      <c r="H16" s="85">
        <f t="shared" si="2"/>
        <v>-2338500</v>
      </c>
      <c r="I16" s="87">
        <f t="shared" si="3"/>
        <v>9.1844660194174754E-2</v>
      </c>
      <c r="J16" s="74" t="str">
        <f t="shared" si="4"/>
        <v>Below Target</v>
      </c>
      <c r="M16" s="15">
        <f t="shared" si="9"/>
        <v>46174</v>
      </c>
      <c r="N16">
        <f>SUMIFS(tblTargetVsActual[Target Amount],tblTargetVsActual[MonthYear],M16)</f>
        <v>29484000</v>
      </c>
      <c r="O16">
        <f>SUMIFS(tblTargetVsActual[Actual Sales],tblTargetVsActual[MonthYear],M16)</f>
        <v>4729000</v>
      </c>
      <c r="P16">
        <f t="shared" si="7"/>
        <v>-24755000</v>
      </c>
      <c r="Q16" s="13">
        <f t="shared" si="8"/>
        <v>0.16039207705874373</v>
      </c>
      <c r="S16">
        <f>SUMIFS(tblSalesTargets[Target Amount],tblSalesTargets[MonthYear],A16,tblSalesTargets[Salesperson ID],C16)</f>
        <v>2575000</v>
      </c>
      <c r="T16">
        <f>SUMIFS(tblSalesTransactions[Sales Amount],tblSalesTransactions[Salesperson ID],C16,tblSalesTransactions[Date],"&gt;="&amp;A16,tblSalesTransactions[Date],"&lt;"&amp;EDATE(A16,1))</f>
        <v>236500</v>
      </c>
      <c r="U16" s="10">
        <f t="shared" si="0"/>
        <v>2575000</v>
      </c>
      <c r="V16" s="10">
        <f t="shared" si="1"/>
        <v>236500</v>
      </c>
      <c r="W16" t="b">
        <f t="shared" si="5"/>
        <v>1</v>
      </c>
      <c r="X16" t="b">
        <f t="shared" si="6"/>
        <v>1</v>
      </c>
    </row>
    <row r="17" spans="1:24">
      <c r="A17" s="88">
        <v>46054</v>
      </c>
      <c r="B17" s="74">
        <v>2</v>
      </c>
      <c r="C17" s="74" t="s">
        <v>24</v>
      </c>
      <c r="D17" s="74" t="s">
        <v>20</v>
      </c>
      <c r="E17" s="74" t="s">
        <v>4</v>
      </c>
      <c r="F17" s="85">
        <f>SUMIFS(tblSalesTargets[Target Amount],tblSalesTargets[MonthYear],A17,tblSalesTargets[Salesperson ID],C17)</f>
        <v>2369000</v>
      </c>
      <c r="G17" s="85">
        <f>SUMIFS(tblSalesTransactions[Sales Amount],tblSalesTransactions[Salesperson ID],C17,tblSalesTransactions[Date],"&gt;="&amp;A17,tblSalesTransactions[Date],"&lt;"&amp;EDATE(A17,1))</f>
        <v>303500</v>
      </c>
      <c r="H17" s="85">
        <f t="shared" si="2"/>
        <v>-2065500</v>
      </c>
      <c r="I17" s="87">
        <f t="shared" si="3"/>
        <v>0.12811312790206839</v>
      </c>
      <c r="J17" s="74" t="str">
        <f t="shared" si="4"/>
        <v>Below Target</v>
      </c>
      <c r="M17" s="15">
        <f t="shared" si="9"/>
        <v>46204</v>
      </c>
      <c r="N17">
        <f>SUMIFS(tblTargetVsActual[Target Amount],tblTargetVsActual[MonthYear],M17)</f>
        <v>28392000</v>
      </c>
      <c r="O17">
        <f>SUMIFS(tblTargetVsActual[Actual Sales],tblTargetVsActual[MonthYear],M17)</f>
        <v>4432750</v>
      </c>
      <c r="P17">
        <f t="shared" si="7"/>
        <v>-23959250</v>
      </c>
      <c r="Q17" s="13">
        <f t="shared" si="8"/>
        <v>0.15612672583826431</v>
      </c>
      <c r="S17">
        <f>SUMIFS(tblSalesTargets[Target Amount],tblSalesTargets[MonthYear],A17,tblSalesTargets[Salesperson ID],C17)</f>
        <v>2369000</v>
      </c>
      <c r="T17">
        <f>SUMIFS(tblSalesTransactions[Sales Amount],tblSalesTransactions[Salesperson ID],C17,tblSalesTransactions[Date],"&gt;="&amp;A17,tblSalesTransactions[Date],"&lt;"&amp;EDATE(A17,1))</f>
        <v>303500</v>
      </c>
      <c r="U17" s="10">
        <f t="shared" si="0"/>
        <v>2369000</v>
      </c>
      <c r="V17" s="10">
        <f t="shared" si="1"/>
        <v>303500</v>
      </c>
      <c r="W17" t="b">
        <f t="shared" si="5"/>
        <v>1</v>
      </c>
      <c r="X17" t="b">
        <f t="shared" si="6"/>
        <v>1</v>
      </c>
    </row>
    <row r="18" spans="1:24">
      <c r="A18" s="88">
        <v>46054</v>
      </c>
      <c r="B18" s="74">
        <v>2</v>
      </c>
      <c r="C18" s="74" t="s">
        <v>26</v>
      </c>
      <c r="D18" s="74" t="s">
        <v>20</v>
      </c>
      <c r="E18" s="74" t="s">
        <v>4</v>
      </c>
      <c r="F18" s="85">
        <f>SUMIFS(tblSalesTargets[Target Amount],tblSalesTargets[MonthYear],A18,tblSalesTargets[Salesperson ID],C18)</f>
        <v>2266000</v>
      </c>
      <c r="G18" s="85">
        <f>SUMIFS(tblSalesTransactions[Sales Amount],tblSalesTransactions[Salesperson ID],C18,tblSalesTransactions[Date],"&gt;="&amp;A18,tblSalesTransactions[Date],"&lt;"&amp;EDATE(A18,1))</f>
        <v>287250</v>
      </c>
      <c r="H18" s="85">
        <f t="shared" si="2"/>
        <v>-1978750</v>
      </c>
      <c r="I18" s="87">
        <f t="shared" si="3"/>
        <v>0.12676522506619595</v>
      </c>
      <c r="J18" s="74" t="str">
        <f t="shared" si="4"/>
        <v>Below Target</v>
      </c>
      <c r="M18" s="15">
        <f t="shared" si="9"/>
        <v>46235</v>
      </c>
      <c r="N18">
        <f>SUMIFS(tblTargetVsActual[Target Amount],tblTargetVsActual[MonthYear],M18)</f>
        <v>28938000</v>
      </c>
      <c r="O18">
        <f>SUMIFS(tblTargetVsActual[Actual Sales],tblTargetVsActual[MonthYear],M18)</f>
        <v>4931500</v>
      </c>
      <c r="P18">
        <f t="shared" si="7"/>
        <v>-24006500</v>
      </c>
      <c r="Q18" s="13">
        <f t="shared" si="8"/>
        <v>0.17041606192549588</v>
      </c>
      <c r="S18">
        <f>SUMIFS(tblSalesTargets[Target Amount],tblSalesTargets[MonthYear],A18,tblSalesTargets[Salesperson ID],C18)</f>
        <v>2266000</v>
      </c>
      <c r="T18">
        <f>SUMIFS(tblSalesTransactions[Sales Amount],tblSalesTransactions[Salesperson ID],C18,tblSalesTransactions[Date],"&gt;="&amp;A18,tblSalesTransactions[Date],"&lt;"&amp;EDATE(A18,1))</f>
        <v>287250</v>
      </c>
      <c r="U18" s="10">
        <f t="shared" si="0"/>
        <v>2266000</v>
      </c>
      <c r="V18" s="10">
        <f t="shared" si="1"/>
        <v>287250</v>
      </c>
      <c r="W18" t="b">
        <f t="shared" si="5"/>
        <v>1</v>
      </c>
      <c r="X18" t="b">
        <f t="shared" si="6"/>
        <v>1</v>
      </c>
    </row>
    <row r="19" spans="1:24">
      <c r="A19" s="88">
        <v>46054</v>
      </c>
      <c r="B19" s="74">
        <v>2</v>
      </c>
      <c r="C19" s="74" t="s">
        <v>30</v>
      </c>
      <c r="D19" s="74" t="s">
        <v>28</v>
      </c>
      <c r="E19" s="74" t="s">
        <v>8</v>
      </c>
      <c r="F19" s="85">
        <f>SUMIFS(tblSalesTargets[Target Amount],tblSalesTargets[MonthYear],A19,tblSalesTargets[Salesperson ID],C19)</f>
        <v>2781000</v>
      </c>
      <c r="G19" s="85">
        <f>SUMIFS(tblSalesTransactions[Sales Amount],tblSalesTransactions[Salesperson ID],C19,tblSalesTransactions[Date],"&gt;="&amp;A19,tblSalesTransactions[Date],"&lt;"&amp;EDATE(A19,1))</f>
        <v>505500</v>
      </c>
      <c r="H19" s="85">
        <f t="shared" si="2"/>
        <v>-2275500</v>
      </c>
      <c r="I19" s="87">
        <f t="shared" si="3"/>
        <v>0.18176914778856526</v>
      </c>
      <c r="J19" s="74" t="str">
        <f t="shared" si="4"/>
        <v>Below Target</v>
      </c>
      <c r="M19" s="15">
        <f t="shared" si="9"/>
        <v>46266</v>
      </c>
      <c r="N19">
        <f>SUMIFS(tblTargetVsActual[Target Amount],tblTargetVsActual[MonthYear],M19)</f>
        <v>29211000</v>
      </c>
      <c r="O19">
        <f>SUMIFS(tblTargetVsActual[Actual Sales],tblTargetVsActual[MonthYear],M19)</f>
        <v>5190750</v>
      </c>
      <c r="P19">
        <f t="shared" si="7"/>
        <v>-24020250</v>
      </c>
      <c r="Q19" s="13">
        <f t="shared" si="8"/>
        <v>0.17769846975454451</v>
      </c>
      <c r="S19">
        <f>SUMIFS(tblSalesTargets[Target Amount],tblSalesTargets[MonthYear],A19,tblSalesTargets[Salesperson ID],C19)</f>
        <v>2781000</v>
      </c>
      <c r="T19">
        <f>SUMIFS(tblSalesTransactions[Sales Amount],tblSalesTransactions[Salesperson ID],C19,tblSalesTransactions[Date],"&gt;="&amp;A19,tblSalesTransactions[Date],"&lt;"&amp;EDATE(A19,1))</f>
        <v>505500</v>
      </c>
      <c r="U19" s="10">
        <f t="shared" si="0"/>
        <v>2781000</v>
      </c>
      <c r="V19" s="10">
        <f t="shared" si="1"/>
        <v>505500</v>
      </c>
      <c r="W19" t="b">
        <f t="shared" si="5"/>
        <v>1</v>
      </c>
      <c r="X19" t="b">
        <f t="shared" si="6"/>
        <v>1</v>
      </c>
    </row>
    <row r="20" spans="1:24">
      <c r="A20" s="88">
        <v>46054</v>
      </c>
      <c r="B20" s="74">
        <v>2</v>
      </c>
      <c r="C20" s="74" t="s">
        <v>32</v>
      </c>
      <c r="D20" s="74" t="s">
        <v>28</v>
      </c>
      <c r="E20" s="74" t="s">
        <v>8</v>
      </c>
      <c r="F20" s="85">
        <f>SUMIFS(tblSalesTargets[Target Amount],tblSalesTargets[MonthYear],A20,tblSalesTargets[Salesperson ID],C20)</f>
        <v>2575000</v>
      </c>
      <c r="G20" s="85">
        <f>SUMIFS(tblSalesTransactions[Sales Amount],tblSalesTransactions[Salesperson ID],C20,tblSalesTransactions[Date],"&gt;="&amp;A20,tblSalesTransactions[Date],"&lt;"&amp;EDATE(A20,1))</f>
        <v>504000</v>
      </c>
      <c r="H20" s="85">
        <f t="shared" si="2"/>
        <v>-2071000</v>
      </c>
      <c r="I20" s="87">
        <f t="shared" si="3"/>
        <v>0.19572815533980584</v>
      </c>
      <c r="J20" s="74" t="str">
        <f t="shared" si="4"/>
        <v>Below Target</v>
      </c>
      <c r="M20" s="15">
        <f t="shared" si="9"/>
        <v>46296</v>
      </c>
      <c r="N20">
        <f>SUMIFS(tblTargetVsActual[Target Amount],tblTargetVsActual[MonthYear],M20)</f>
        <v>30030000</v>
      </c>
      <c r="O20">
        <f>SUMIFS(tblTargetVsActual[Actual Sales],tblTargetVsActual[MonthYear],M20)</f>
        <v>5458250</v>
      </c>
      <c r="P20">
        <f t="shared" si="7"/>
        <v>-24571750</v>
      </c>
      <c r="Q20" s="13">
        <f t="shared" si="8"/>
        <v>0.18175990675990675</v>
      </c>
      <c r="S20">
        <f>SUMIFS(tblSalesTargets[Target Amount],tblSalesTargets[MonthYear],A20,tblSalesTargets[Salesperson ID],C20)</f>
        <v>2575000</v>
      </c>
      <c r="T20">
        <f>SUMIFS(tblSalesTransactions[Sales Amount],tblSalesTransactions[Salesperson ID],C20,tblSalesTransactions[Date],"&gt;="&amp;A20,tblSalesTransactions[Date],"&lt;"&amp;EDATE(A20,1))</f>
        <v>504000</v>
      </c>
      <c r="U20" s="10">
        <f t="shared" si="0"/>
        <v>2575000</v>
      </c>
      <c r="V20" s="10">
        <f t="shared" si="1"/>
        <v>504000</v>
      </c>
      <c r="W20" t="b">
        <f t="shared" si="5"/>
        <v>1</v>
      </c>
      <c r="X20" t="b">
        <f t="shared" si="6"/>
        <v>1</v>
      </c>
    </row>
    <row r="21" spans="1:24">
      <c r="A21" s="88">
        <v>46054</v>
      </c>
      <c r="B21" s="74">
        <v>2</v>
      </c>
      <c r="C21" s="74" t="s">
        <v>34</v>
      </c>
      <c r="D21" s="74" t="s">
        <v>28</v>
      </c>
      <c r="E21" s="74" t="s">
        <v>8</v>
      </c>
      <c r="F21" s="85">
        <f>SUMIFS(tblSalesTargets[Target Amount],tblSalesTargets[MonthYear],A21,tblSalesTargets[Salesperson ID],C21)</f>
        <v>2369000</v>
      </c>
      <c r="G21" s="85">
        <f>SUMIFS(tblSalesTransactions[Sales Amount],tblSalesTransactions[Salesperson ID],C21,tblSalesTransactions[Date],"&gt;="&amp;A21,tblSalesTransactions[Date],"&lt;"&amp;EDATE(A21,1))</f>
        <v>329000</v>
      </c>
      <c r="H21" s="85">
        <f t="shared" si="2"/>
        <v>-2040000</v>
      </c>
      <c r="I21" s="87">
        <f t="shared" si="3"/>
        <v>0.13887716336006753</v>
      </c>
      <c r="J21" s="74" t="str">
        <f t="shared" si="4"/>
        <v>Below Target</v>
      </c>
      <c r="M21" s="15">
        <f t="shared" si="9"/>
        <v>46327</v>
      </c>
      <c r="N21">
        <f>SUMIFS(tblTargetVsActual[Target Amount],tblTargetVsActual[MonthYear],M21)</f>
        <v>30576000</v>
      </c>
      <c r="O21">
        <f>SUMIFS(tblTargetVsActual[Actual Sales],tblTargetVsActual[MonthYear],M21)</f>
        <v>5931000</v>
      </c>
      <c r="P21">
        <f t="shared" si="7"/>
        <v>-24645000</v>
      </c>
      <c r="Q21" s="13">
        <f t="shared" si="8"/>
        <v>0.19397566718995291</v>
      </c>
      <c r="S21">
        <f>SUMIFS(tblSalesTargets[Target Amount],tblSalesTargets[MonthYear],A21,tblSalesTargets[Salesperson ID],C21)</f>
        <v>2369000</v>
      </c>
      <c r="T21">
        <f>SUMIFS(tblSalesTransactions[Sales Amount],tblSalesTransactions[Salesperson ID],C21,tblSalesTransactions[Date],"&gt;="&amp;A21,tblSalesTransactions[Date],"&lt;"&amp;EDATE(A21,1))</f>
        <v>329000</v>
      </c>
      <c r="U21" s="10">
        <f t="shared" si="0"/>
        <v>2369000</v>
      </c>
      <c r="V21" s="10">
        <f t="shared" si="1"/>
        <v>329000</v>
      </c>
      <c r="W21" t="b">
        <f t="shared" si="5"/>
        <v>1</v>
      </c>
      <c r="X21" t="b">
        <f t="shared" si="6"/>
        <v>1</v>
      </c>
    </row>
    <row r="22" spans="1:24">
      <c r="A22" s="88">
        <v>46054</v>
      </c>
      <c r="B22" s="74">
        <v>2</v>
      </c>
      <c r="C22" s="74" t="s">
        <v>38</v>
      </c>
      <c r="D22" s="74" t="s">
        <v>36</v>
      </c>
      <c r="E22" s="74" t="s">
        <v>11</v>
      </c>
      <c r="F22" s="85">
        <f>SUMIFS(tblSalesTargets[Target Amount],tblSalesTargets[MonthYear],A22,tblSalesTargets[Salesperson ID],C22)</f>
        <v>2472000</v>
      </c>
      <c r="G22" s="85">
        <f>SUMIFS(tblSalesTransactions[Sales Amount],tblSalesTransactions[Salesperson ID],C22,tblSalesTransactions[Date],"&gt;="&amp;A22,tblSalesTransactions[Date],"&lt;"&amp;EDATE(A22,1))</f>
        <v>486000</v>
      </c>
      <c r="H22" s="85">
        <f t="shared" si="2"/>
        <v>-1986000</v>
      </c>
      <c r="I22" s="87">
        <f t="shared" si="3"/>
        <v>0.19660194174757281</v>
      </c>
      <c r="J22" s="74" t="str">
        <f t="shared" si="4"/>
        <v>Below Target</v>
      </c>
      <c r="M22" s="15">
        <f t="shared" si="9"/>
        <v>46357</v>
      </c>
      <c r="N22">
        <f>SUMIFS(tblTargetVsActual[Target Amount],tblTargetVsActual[MonthYear],M22)</f>
        <v>32760000</v>
      </c>
      <c r="O22">
        <f>SUMIFS(tblTargetVsActual[Actual Sales],tblTargetVsActual[MonthYear],M22)</f>
        <v>6607500</v>
      </c>
      <c r="P22">
        <f t="shared" si="7"/>
        <v>-26152500</v>
      </c>
      <c r="Q22" s="13">
        <f t="shared" si="8"/>
        <v>0.2016941391941392</v>
      </c>
      <c r="S22">
        <f>SUMIFS(tblSalesTargets[Target Amount],tblSalesTargets[MonthYear],A22,tblSalesTargets[Salesperson ID],C22)</f>
        <v>2472000</v>
      </c>
      <c r="T22">
        <f>SUMIFS(tblSalesTransactions[Sales Amount],tblSalesTransactions[Salesperson ID],C22,tblSalesTransactions[Date],"&gt;="&amp;A22,tblSalesTransactions[Date],"&lt;"&amp;EDATE(A22,1))</f>
        <v>486000</v>
      </c>
      <c r="U22" s="10">
        <f t="shared" si="0"/>
        <v>2472000</v>
      </c>
      <c r="V22" s="10">
        <f t="shared" si="1"/>
        <v>486000</v>
      </c>
      <c r="W22" t="b">
        <f t="shared" si="5"/>
        <v>1</v>
      </c>
      <c r="X22" t="b">
        <f t="shared" si="6"/>
        <v>1</v>
      </c>
    </row>
    <row r="23" spans="1:24">
      <c r="A23" s="88">
        <v>46054</v>
      </c>
      <c r="B23" s="74">
        <v>2</v>
      </c>
      <c r="C23" s="74" t="s">
        <v>40</v>
      </c>
      <c r="D23" s="74" t="s">
        <v>36</v>
      </c>
      <c r="E23" s="74" t="s">
        <v>11</v>
      </c>
      <c r="F23" s="85">
        <f>SUMIFS(tblSalesTargets[Target Amount],tblSalesTargets[MonthYear],A23,tblSalesTargets[Salesperson ID],C23)</f>
        <v>2266000</v>
      </c>
      <c r="G23" s="85">
        <f>SUMIFS(tblSalesTransactions[Sales Amount],tblSalesTransactions[Salesperson ID],C23,tblSalesTransactions[Date],"&gt;="&amp;A23,tblSalesTransactions[Date],"&lt;"&amp;EDATE(A23,1))</f>
        <v>496500</v>
      </c>
      <c r="H23" s="85">
        <f t="shared" si="2"/>
        <v>-1769500</v>
      </c>
      <c r="I23" s="87">
        <f t="shared" si="3"/>
        <v>0.21910856134157106</v>
      </c>
      <c r="J23" s="74" t="str">
        <f t="shared" si="4"/>
        <v>Below Target</v>
      </c>
      <c r="S23">
        <f>SUMIFS(tblSalesTargets[Target Amount],tblSalesTargets[MonthYear],A23,tblSalesTargets[Salesperson ID],C23)</f>
        <v>2266000</v>
      </c>
      <c r="T23">
        <f>SUMIFS(tblSalesTransactions[Sales Amount],tblSalesTransactions[Salesperson ID],C23,tblSalesTransactions[Date],"&gt;="&amp;A23,tblSalesTransactions[Date],"&lt;"&amp;EDATE(A23,1))</f>
        <v>496500</v>
      </c>
      <c r="U23" s="10">
        <f t="shared" si="0"/>
        <v>2266000</v>
      </c>
      <c r="V23" s="10">
        <f t="shared" si="1"/>
        <v>496500</v>
      </c>
      <c r="W23" t="b">
        <f t="shared" si="5"/>
        <v>1</v>
      </c>
      <c r="X23" t="b">
        <f t="shared" si="6"/>
        <v>1</v>
      </c>
    </row>
    <row r="24" spans="1:24">
      <c r="A24" s="88">
        <v>46054</v>
      </c>
      <c r="B24" s="74">
        <v>2</v>
      </c>
      <c r="C24" s="74" t="s">
        <v>42</v>
      </c>
      <c r="D24" s="74" t="s">
        <v>36</v>
      </c>
      <c r="E24" s="74" t="s">
        <v>11</v>
      </c>
      <c r="F24" s="85">
        <f>SUMIFS(tblSalesTargets[Target Amount],tblSalesTargets[MonthYear],A24,tblSalesTargets[Salesperson ID],C24)</f>
        <v>2163000</v>
      </c>
      <c r="G24" s="85">
        <f>SUMIFS(tblSalesTransactions[Sales Amount],tblSalesTransactions[Salesperson ID],C24,tblSalesTransactions[Date],"&gt;="&amp;A24,tblSalesTransactions[Date],"&lt;"&amp;EDATE(A24,1))</f>
        <v>302500</v>
      </c>
      <c r="H24" s="85">
        <f t="shared" si="2"/>
        <v>-1860500</v>
      </c>
      <c r="I24" s="87">
        <f t="shared" si="3"/>
        <v>0.1398520573277855</v>
      </c>
      <c r="J24" s="74" t="str">
        <f t="shared" si="4"/>
        <v>Below Target</v>
      </c>
      <c r="S24">
        <f>SUMIFS(tblSalesTargets[Target Amount],tblSalesTargets[MonthYear],A24,tblSalesTargets[Salesperson ID],C24)</f>
        <v>2163000</v>
      </c>
      <c r="T24">
        <f>SUMIFS(tblSalesTransactions[Sales Amount],tblSalesTransactions[Salesperson ID],C24,tblSalesTransactions[Date],"&gt;="&amp;A24,tblSalesTransactions[Date],"&lt;"&amp;EDATE(A24,1))</f>
        <v>302500</v>
      </c>
      <c r="U24" s="10">
        <f t="shared" si="0"/>
        <v>2163000</v>
      </c>
      <c r="V24" s="10">
        <f t="shared" si="1"/>
        <v>302500</v>
      </c>
      <c r="W24" t="b">
        <f t="shared" si="5"/>
        <v>1</v>
      </c>
      <c r="X24" t="b">
        <f t="shared" si="6"/>
        <v>1</v>
      </c>
    </row>
    <row r="25" spans="1:24">
      <c r="A25" s="88">
        <v>46054</v>
      </c>
      <c r="B25" s="74">
        <v>2</v>
      </c>
      <c r="C25" s="74" t="s">
        <v>46</v>
      </c>
      <c r="D25" s="74" t="s">
        <v>44</v>
      </c>
      <c r="E25" s="74" t="s">
        <v>14</v>
      </c>
      <c r="F25" s="85">
        <f>SUMIFS(tblSalesTargets[Target Amount],tblSalesTargets[MonthYear],A25,tblSalesTargets[Salesperson ID],C25)</f>
        <v>2266000</v>
      </c>
      <c r="G25" s="85">
        <f>SUMIFS(tblSalesTransactions[Sales Amount],tblSalesTransactions[Salesperson ID],C25,tblSalesTransactions[Date],"&gt;="&amp;A25,tblSalesTransactions[Date],"&lt;"&amp;EDATE(A25,1))</f>
        <v>272500</v>
      </c>
      <c r="H25" s="85">
        <f t="shared" si="2"/>
        <v>-1993500</v>
      </c>
      <c r="I25" s="87">
        <f t="shared" si="3"/>
        <v>0.12025595763459841</v>
      </c>
      <c r="J25" s="74" t="str">
        <f t="shared" si="4"/>
        <v>Below Target</v>
      </c>
      <c r="S25">
        <f>SUMIFS(tblSalesTargets[Target Amount],tblSalesTargets[MonthYear],A25,tblSalesTargets[Salesperson ID],C25)</f>
        <v>2266000</v>
      </c>
      <c r="T25">
        <f>SUMIFS(tblSalesTransactions[Sales Amount],tblSalesTransactions[Salesperson ID],C25,tblSalesTransactions[Date],"&gt;="&amp;A25,tblSalesTransactions[Date],"&lt;"&amp;EDATE(A25,1))</f>
        <v>272500</v>
      </c>
      <c r="U25" s="10">
        <f t="shared" si="0"/>
        <v>2266000</v>
      </c>
      <c r="V25" s="10">
        <f t="shared" si="1"/>
        <v>272500</v>
      </c>
      <c r="W25" t="b">
        <f t="shared" si="5"/>
        <v>1</v>
      </c>
      <c r="X25" t="b">
        <f t="shared" si="6"/>
        <v>1</v>
      </c>
    </row>
    <row r="26" spans="1:24">
      <c r="A26" s="88">
        <v>46054</v>
      </c>
      <c r="B26" s="74">
        <v>2</v>
      </c>
      <c r="C26" s="74" t="s">
        <v>48</v>
      </c>
      <c r="D26" s="74" t="s">
        <v>44</v>
      </c>
      <c r="E26" s="74" t="s">
        <v>14</v>
      </c>
      <c r="F26" s="85">
        <f>SUMIFS(tblSalesTargets[Target Amount],tblSalesTargets[MonthYear],A26,tblSalesTargets[Salesperson ID],C26)</f>
        <v>2060000</v>
      </c>
      <c r="G26" s="85">
        <f>SUMIFS(tblSalesTransactions[Sales Amount],tblSalesTransactions[Salesperson ID],C26,tblSalesTransactions[Date],"&gt;="&amp;A26,tblSalesTransactions[Date],"&lt;"&amp;EDATE(A26,1))</f>
        <v>294500</v>
      </c>
      <c r="H26" s="85">
        <f t="shared" si="2"/>
        <v>-1765500</v>
      </c>
      <c r="I26" s="87">
        <f t="shared" si="3"/>
        <v>0.1429611650485437</v>
      </c>
      <c r="J26" s="74" t="str">
        <f t="shared" si="4"/>
        <v>Below Target</v>
      </c>
      <c r="S26">
        <f>SUMIFS(tblSalesTargets[Target Amount],tblSalesTargets[MonthYear],A26,tblSalesTargets[Salesperson ID],C26)</f>
        <v>2060000</v>
      </c>
      <c r="T26">
        <f>SUMIFS(tblSalesTransactions[Sales Amount],tblSalesTransactions[Salesperson ID],C26,tblSalesTransactions[Date],"&gt;="&amp;A26,tblSalesTransactions[Date],"&lt;"&amp;EDATE(A26,1))</f>
        <v>294500</v>
      </c>
      <c r="U26" s="10">
        <f t="shared" si="0"/>
        <v>2060000</v>
      </c>
      <c r="V26" s="10">
        <f t="shared" si="1"/>
        <v>294500</v>
      </c>
      <c r="W26" t="b">
        <f t="shared" si="5"/>
        <v>1</v>
      </c>
      <c r="X26" t="b">
        <f t="shared" si="6"/>
        <v>1</v>
      </c>
    </row>
    <row r="27" spans="1:24">
      <c r="A27" s="88">
        <v>46054</v>
      </c>
      <c r="B27" s="74">
        <v>2</v>
      </c>
      <c r="C27" s="74" t="s">
        <v>50</v>
      </c>
      <c r="D27" s="74" t="s">
        <v>44</v>
      </c>
      <c r="E27" s="74" t="s">
        <v>14</v>
      </c>
      <c r="F27" s="85">
        <f>SUMIFS(tblSalesTargets[Target Amount],tblSalesTargets[MonthYear],A27,tblSalesTargets[Salesperson ID],C27)</f>
        <v>1957000</v>
      </c>
      <c r="G27" s="85">
        <f>SUMIFS(tblSalesTransactions[Sales Amount],tblSalesTransactions[Salesperson ID],C27,tblSalesTransactions[Date],"&gt;="&amp;A27,tblSalesTransactions[Date],"&lt;"&amp;EDATE(A27,1))</f>
        <v>256000</v>
      </c>
      <c r="H27" s="85">
        <f t="shared" si="2"/>
        <v>-1701000</v>
      </c>
      <c r="I27" s="87">
        <f t="shared" si="3"/>
        <v>0.1308124680633623</v>
      </c>
      <c r="J27" s="74" t="str">
        <f t="shared" si="4"/>
        <v>Below Target</v>
      </c>
      <c r="S27">
        <f>SUMIFS(tblSalesTargets[Target Amount],tblSalesTargets[MonthYear],A27,tblSalesTargets[Salesperson ID],C27)</f>
        <v>1957000</v>
      </c>
      <c r="T27">
        <f>SUMIFS(tblSalesTransactions[Sales Amount],tblSalesTransactions[Salesperson ID],C27,tblSalesTransactions[Date],"&gt;="&amp;A27,tblSalesTransactions[Date],"&lt;"&amp;EDATE(A27,1))</f>
        <v>256000</v>
      </c>
      <c r="U27" s="10">
        <f t="shared" si="0"/>
        <v>1957000</v>
      </c>
      <c r="V27" s="10">
        <f t="shared" si="1"/>
        <v>256000</v>
      </c>
      <c r="W27" t="b">
        <f t="shared" si="5"/>
        <v>1</v>
      </c>
      <c r="X27" t="b">
        <f t="shared" si="6"/>
        <v>1</v>
      </c>
    </row>
    <row r="28" spans="1:24">
      <c r="A28" s="88">
        <v>46082</v>
      </c>
      <c r="B28" s="74">
        <v>3</v>
      </c>
      <c r="C28" s="74" t="s">
        <v>22</v>
      </c>
      <c r="D28" s="74" t="s">
        <v>20</v>
      </c>
      <c r="E28" s="74" t="s">
        <v>4</v>
      </c>
      <c r="F28" s="85">
        <f>SUMIFS(tblSalesTargets[Target Amount],tblSalesTargets[MonthYear],A28,tblSalesTargets[Salesperson ID],C28)</f>
        <v>2625000</v>
      </c>
      <c r="G28" s="85">
        <f>SUMIFS(tblSalesTransactions[Sales Amount],tblSalesTransactions[Salesperson ID],C28,tblSalesTransactions[Date],"&gt;="&amp;A28,tblSalesTransactions[Date],"&lt;"&amp;EDATE(A28,1))</f>
        <v>238250</v>
      </c>
      <c r="H28" s="85">
        <f t="shared" si="2"/>
        <v>-2386750</v>
      </c>
      <c r="I28" s="87">
        <f t="shared" si="3"/>
        <v>9.0761904761904766E-2</v>
      </c>
      <c r="J28" s="74" t="str">
        <f t="shared" si="4"/>
        <v>Below Target</v>
      </c>
      <c r="S28">
        <f>SUMIFS(tblSalesTargets[Target Amount],tblSalesTargets[MonthYear],A28,tblSalesTargets[Salesperson ID],C28)</f>
        <v>2625000</v>
      </c>
      <c r="T28">
        <f>SUMIFS(tblSalesTransactions[Sales Amount],tblSalesTransactions[Salesperson ID],C28,tblSalesTransactions[Date],"&gt;="&amp;A28,tblSalesTransactions[Date],"&lt;"&amp;EDATE(A28,1))</f>
        <v>238250</v>
      </c>
      <c r="U28" s="10">
        <f t="shared" si="0"/>
        <v>2625000</v>
      </c>
      <c r="V28" s="10">
        <f t="shared" si="1"/>
        <v>238250</v>
      </c>
      <c r="W28" t="b">
        <f t="shared" si="5"/>
        <v>1</v>
      </c>
      <c r="X28" t="b">
        <f t="shared" si="6"/>
        <v>1</v>
      </c>
    </row>
    <row r="29" spans="1:24">
      <c r="A29" s="88">
        <v>46082</v>
      </c>
      <c r="B29" s="74">
        <v>3</v>
      </c>
      <c r="C29" s="74" t="s">
        <v>24</v>
      </c>
      <c r="D29" s="74" t="s">
        <v>20</v>
      </c>
      <c r="E29" s="74" t="s">
        <v>4</v>
      </c>
      <c r="F29" s="85">
        <f>SUMIFS(tblSalesTargets[Target Amount],tblSalesTargets[MonthYear],A29,tblSalesTargets[Salesperson ID],C29)</f>
        <v>2415000</v>
      </c>
      <c r="G29" s="85">
        <f>SUMIFS(tblSalesTransactions[Sales Amount],tblSalesTransactions[Salesperson ID],C29,tblSalesTransactions[Date],"&gt;="&amp;A29,tblSalesTransactions[Date],"&lt;"&amp;EDATE(A29,1))</f>
        <v>348000</v>
      </c>
      <c r="H29" s="85">
        <f t="shared" si="2"/>
        <v>-2067000</v>
      </c>
      <c r="I29" s="87">
        <f t="shared" si="3"/>
        <v>0.14409937888198757</v>
      </c>
      <c r="J29" s="74" t="str">
        <f t="shared" si="4"/>
        <v>Below Target</v>
      </c>
      <c r="S29">
        <f>SUMIFS(tblSalesTargets[Target Amount],tblSalesTargets[MonthYear],A29,tblSalesTargets[Salesperson ID],C29)</f>
        <v>2415000</v>
      </c>
      <c r="T29">
        <f>SUMIFS(tblSalesTransactions[Sales Amount],tblSalesTransactions[Salesperson ID],C29,tblSalesTransactions[Date],"&gt;="&amp;A29,tblSalesTransactions[Date],"&lt;"&amp;EDATE(A29,1))</f>
        <v>348000</v>
      </c>
      <c r="U29" s="10">
        <f t="shared" si="0"/>
        <v>2415000</v>
      </c>
      <c r="V29" s="10">
        <f t="shared" si="1"/>
        <v>348000</v>
      </c>
      <c r="W29" t="b">
        <f t="shared" si="5"/>
        <v>1</v>
      </c>
      <c r="X29" t="b">
        <f t="shared" si="6"/>
        <v>1</v>
      </c>
    </row>
    <row r="30" spans="1:24">
      <c r="A30" s="88">
        <v>46082</v>
      </c>
      <c r="B30" s="74">
        <v>3</v>
      </c>
      <c r="C30" s="74" t="s">
        <v>26</v>
      </c>
      <c r="D30" s="74" t="s">
        <v>20</v>
      </c>
      <c r="E30" s="74" t="s">
        <v>4</v>
      </c>
      <c r="F30" s="85">
        <f>SUMIFS(tblSalesTargets[Target Amount],tblSalesTargets[MonthYear],A30,tblSalesTargets[Salesperson ID],C30)</f>
        <v>2310000</v>
      </c>
      <c r="G30" s="85">
        <f>SUMIFS(tblSalesTransactions[Sales Amount],tblSalesTransactions[Salesperson ID],C30,tblSalesTransactions[Date],"&gt;="&amp;A30,tblSalesTransactions[Date],"&lt;"&amp;EDATE(A30,1))</f>
        <v>316000</v>
      </c>
      <c r="H30" s="85">
        <f t="shared" si="2"/>
        <v>-1994000</v>
      </c>
      <c r="I30" s="87">
        <f t="shared" si="3"/>
        <v>0.13679653679653681</v>
      </c>
      <c r="J30" s="74" t="str">
        <f t="shared" si="4"/>
        <v>Below Target</v>
      </c>
      <c r="S30">
        <f>SUMIFS(tblSalesTargets[Target Amount],tblSalesTargets[MonthYear],A30,tblSalesTargets[Salesperson ID],C30)</f>
        <v>2310000</v>
      </c>
      <c r="T30">
        <f>SUMIFS(tblSalesTransactions[Sales Amount],tblSalesTransactions[Salesperson ID],C30,tblSalesTransactions[Date],"&gt;="&amp;A30,tblSalesTransactions[Date],"&lt;"&amp;EDATE(A30,1))</f>
        <v>316000</v>
      </c>
      <c r="U30" s="10">
        <f t="shared" si="0"/>
        <v>2310000</v>
      </c>
      <c r="V30" s="10">
        <f t="shared" si="1"/>
        <v>316000</v>
      </c>
      <c r="W30" t="b">
        <f t="shared" si="5"/>
        <v>1</v>
      </c>
      <c r="X30" t="b">
        <f t="shared" si="6"/>
        <v>1</v>
      </c>
    </row>
    <row r="31" spans="1:24">
      <c r="A31" s="88">
        <v>46082</v>
      </c>
      <c r="B31" s="74">
        <v>3</v>
      </c>
      <c r="C31" s="74" t="s">
        <v>30</v>
      </c>
      <c r="D31" s="74" t="s">
        <v>28</v>
      </c>
      <c r="E31" s="74" t="s">
        <v>8</v>
      </c>
      <c r="F31" s="85">
        <f>SUMIFS(tblSalesTargets[Target Amount],tblSalesTargets[MonthYear],A31,tblSalesTargets[Salesperson ID],C31)</f>
        <v>2835000</v>
      </c>
      <c r="G31" s="85">
        <f>SUMIFS(tblSalesTransactions[Sales Amount],tblSalesTransactions[Salesperson ID],C31,tblSalesTransactions[Date],"&gt;="&amp;A31,tblSalesTransactions[Date],"&lt;"&amp;EDATE(A31,1))</f>
        <v>462500</v>
      </c>
      <c r="H31" s="85">
        <f t="shared" si="2"/>
        <v>-2372500</v>
      </c>
      <c r="I31" s="87">
        <f t="shared" si="3"/>
        <v>0.16313932980599646</v>
      </c>
      <c r="J31" s="74" t="str">
        <f t="shared" si="4"/>
        <v>Below Target</v>
      </c>
      <c r="S31">
        <f>SUMIFS(tblSalesTargets[Target Amount],tblSalesTargets[MonthYear],A31,tblSalesTargets[Salesperson ID],C31)</f>
        <v>2835000</v>
      </c>
      <c r="T31">
        <f>SUMIFS(tblSalesTransactions[Sales Amount],tblSalesTransactions[Salesperson ID],C31,tblSalesTransactions[Date],"&gt;="&amp;A31,tblSalesTransactions[Date],"&lt;"&amp;EDATE(A31,1))</f>
        <v>462500</v>
      </c>
      <c r="U31" s="10">
        <f t="shared" si="0"/>
        <v>2835000</v>
      </c>
      <c r="V31" s="10">
        <f t="shared" si="1"/>
        <v>462500</v>
      </c>
      <c r="W31" t="b">
        <f t="shared" si="5"/>
        <v>1</v>
      </c>
      <c r="X31" t="b">
        <f t="shared" si="6"/>
        <v>1</v>
      </c>
    </row>
    <row r="32" spans="1:24">
      <c r="A32" s="88">
        <v>46082</v>
      </c>
      <c r="B32" s="74">
        <v>3</v>
      </c>
      <c r="C32" s="74" t="s">
        <v>32</v>
      </c>
      <c r="D32" s="74" t="s">
        <v>28</v>
      </c>
      <c r="E32" s="74" t="s">
        <v>8</v>
      </c>
      <c r="F32" s="85">
        <f>SUMIFS(tblSalesTargets[Target Amount],tblSalesTargets[MonthYear],A32,tblSalesTargets[Salesperson ID],C32)</f>
        <v>2625000</v>
      </c>
      <c r="G32" s="85">
        <f>SUMIFS(tblSalesTransactions[Sales Amount],tblSalesTransactions[Salesperson ID],C32,tblSalesTransactions[Date],"&gt;="&amp;A32,tblSalesTransactions[Date],"&lt;"&amp;EDATE(A32,1))</f>
        <v>408000</v>
      </c>
      <c r="H32" s="85">
        <f t="shared" si="2"/>
        <v>-2217000</v>
      </c>
      <c r="I32" s="87">
        <f t="shared" si="3"/>
        <v>0.15542857142857142</v>
      </c>
      <c r="J32" s="74" t="str">
        <f t="shared" si="4"/>
        <v>Below Target</v>
      </c>
      <c r="S32">
        <f>SUMIFS(tblSalesTargets[Target Amount],tblSalesTargets[MonthYear],A32,tblSalesTargets[Salesperson ID],C32)</f>
        <v>2625000</v>
      </c>
      <c r="T32">
        <f>SUMIFS(tblSalesTransactions[Sales Amount],tblSalesTransactions[Salesperson ID],C32,tblSalesTransactions[Date],"&gt;="&amp;A32,tblSalesTransactions[Date],"&lt;"&amp;EDATE(A32,1))</f>
        <v>408000</v>
      </c>
      <c r="U32" s="10">
        <f t="shared" si="0"/>
        <v>2625000</v>
      </c>
      <c r="V32" s="10">
        <f t="shared" si="1"/>
        <v>408000</v>
      </c>
      <c r="W32" t="b">
        <f t="shared" si="5"/>
        <v>1</v>
      </c>
      <c r="X32" t="b">
        <f t="shared" si="6"/>
        <v>1</v>
      </c>
    </row>
    <row r="33" spans="1:24">
      <c r="A33" s="88">
        <v>46082</v>
      </c>
      <c r="B33" s="74">
        <v>3</v>
      </c>
      <c r="C33" s="74" t="s">
        <v>34</v>
      </c>
      <c r="D33" s="74" t="s">
        <v>28</v>
      </c>
      <c r="E33" s="74" t="s">
        <v>8</v>
      </c>
      <c r="F33" s="85">
        <f>SUMIFS(tblSalesTargets[Target Amount],tblSalesTargets[MonthYear],A33,tblSalesTargets[Salesperson ID],C33)</f>
        <v>2415000</v>
      </c>
      <c r="G33" s="85">
        <f>SUMIFS(tblSalesTransactions[Sales Amount],tblSalesTransactions[Salesperson ID],C33,tblSalesTransactions[Date],"&gt;="&amp;A33,tblSalesTransactions[Date],"&lt;"&amp;EDATE(A33,1))</f>
        <v>455500</v>
      </c>
      <c r="H33" s="85">
        <f t="shared" si="2"/>
        <v>-1959500</v>
      </c>
      <c r="I33" s="87">
        <f t="shared" si="3"/>
        <v>0.1886128364389234</v>
      </c>
      <c r="J33" s="74" t="str">
        <f t="shared" si="4"/>
        <v>Below Target</v>
      </c>
      <c r="S33">
        <f>SUMIFS(tblSalesTargets[Target Amount],tblSalesTargets[MonthYear],A33,tblSalesTargets[Salesperson ID],C33)</f>
        <v>2415000</v>
      </c>
      <c r="T33">
        <f>SUMIFS(tblSalesTransactions[Sales Amount],tblSalesTransactions[Salesperson ID],C33,tblSalesTransactions[Date],"&gt;="&amp;A33,tblSalesTransactions[Date],"&lt;"&amp;EDATE(A33,1))</f>
        <v>455500</v>
      </c>
      <c r="U33" s="10">
        <f t="shared" si="0"/>
        <v>2415000</v>
      </c>
      <c r="V33" s="10">
        <f t="shared" si="1"/>
        <v>455500</v>
      </c>
      <c r="W33" t="b">
        <f t="shared" si="5"/>
        <v>1</v>
      </c>
      <c r="X33" t="b">
        <f t="shared" si="6"/>
        <v>1</v>
      </c>
    </row>
    <row r="34" spans="1:24">
      <c r="A34" s="88">
        <v>46082</v>
      </c>
      <c r="B34" s="74">
        <v>3</v>
      </c>
      <c r="C34" s="74" t="s">
        <v>38</v>
      </c>
      <c r="D34" s="74" t="s">
        <v>36</v>
      </c>
      <c r="E34" s="74" t="s">
        <v>11</v>
      </c>
      <c r="F34" s="85">
        <f>SUMIFS(tblSalesTargets[Target Amount],tblSalesTargets[MonthYear],A34,tblSalesTargets[Salesperson ID],C34)</f>
        <v>2520000</v>
      </c>
      <c r="G34" s="85">
        <f>SUMIFS(tblSalesTransactions[Sales Amount],tblSalesTransactions[Salesperson ID],C34,tblSalesTransactions[Date],"&gt;="&amp;A34,tblSalesTransactions[Date],"&lt;"&amp;EDATE(A34,1))</f>
        <v>496500</v>
      </c>
      <c r="H34" s="85">
        <f t="shared" si="2"/>
        <v>-2023500</v>
      </c>
      <c r="I34" s="87">
        <f t="shared" si="3"/>
        <v>0.19702380952380952</v>
      </c>
      <c r="J34" s="74" t="str">
        <f t="shared" si="4"/>
        <v>Below Target</v>
      </c>
      <c r="S34">
        <f>SUMIFS(tblSalesTargets[Target Amount],tblSalesTargets[MonthYear],A34,tblSalesTargets[Salesperson ID],C34)</f>
        <v>2520000</v>
      </c>
      <c r="T34">
        <f>SUMIFS(tblSalesTransactions[Sales Amount],tblSalesTransactions[Salesperson ID],C34,tblSalesTransactions[Date],"&gt;="&amp;A34,tblSalesTransactions[Date],"&lt;"&amp;EDATE(A34,1))</f>
        <v>496500</v>
      </c>
      <c r="U34" s="10">
        <f t="shared" si="0"/>
        <v>2520000</v>
      </c>
      <c r="V34" s="10">
        <f t="shared" si="1"/>
        <v>496500</v>
      </c>
      <c r="W34" t="b">
        <f t="shared" si="5"/>
        <v>1</v>
      </c>
      <c r="X34" t="b">
        <f t="shared" si="6"/>
        <v>1</v>
      </c>
    </row>
    <row r="35" spans="1:24">
      <c r="A35" s="88">
        <v>46082</v>
      </c>
      <c r="B35" s="74">
        <v>3</v>
      </c>
      <c r="C35" s="74" t="s">
        <v>40</v>
      </c>
      <c r="D35" s="74" t="s">
        <v>36</v>
      </c>
      <c r="E35" s="74" t="s">
        <v>11</v>
      </c>
      <c r="F35" s="85">
        <f>SUMIFS(tblSalesTargets[Target Amount],tblSalesTargets[MonthYear],A35,tblSalesTargets[Salesperson ID],C35)</f>
        <v>2310000</v>
      </c>
      <c r="G35" s="85">
        <f>SUMIFS(tblSalesTransactions[Sales Amount],tblSalesTransactions[Salesperson ID],C35,tblSalesTransactions[Date],"&gt;="&amp;A35,tblSalesTransactions[Date],"&lt;"&amp;EDATE(A35,1))</f>
        <v>538500</v>
      </c>
      <c r="H35" s="85">
        <f t="shared" si="2"/>
        <v>-1771500</v>
      </c>
      <c r="I35" s="87">
        <f t="shared" si="3"/>
        <v>0.23311688311688311</v>
      </c>
      <c r="J35" s="74" t="str">
        <f t="shared" si="4"/>
        <v>Below Target</v>
      </c>
      <c r="S35">
        <f>SUMIFS(tblSalesTargets[Target Amount],tblSalesTargets[MonthYear],A35,tblSalesTargets[Salesperson ID],C35)</f>
        <v>2310000</v>
      </c>
      <c r="T35">
        <f>SUMIFS(tblSalesTransactions[Sales Amount],tblSalesTransactions[Salesperson ID],C35,tblSalesTransactions[Date],"&gt;="&amp;A35,tblSalesTransactions[Date],"&lt;"&amp;EDATE(A35,1))</f>
        <v>538500</v>
      </c>
      <c r="U35" s="10">
        <f t="shared" si="0"/>
        <v>2310000</v>
      </c>
      <c r="V35" s="10">
        <f t="shared" si="1"/>
        <v>538500</v>
      </c>
      <c r="W35" t="b">
        <f t="shared" si="5"/>
        <v>1</v>
      </c>
      <c r="X35" t="b">
        <f t="shared" si="6"/>
        <v>1</v>
      </c>
    </row>
    <row r="36" spans="1:24">
      <c r="A36" s="88">
        <v>46082</v>
      </c>
      <c r="B36" s="74">
        <v>3</v>
      </c>
      <c r="C36" s="74" t="s">
        <v>42</v>
      </c>
      <c r="D36" s="74" t="s">
        <v>36</v>
      </c>
      <c r="E36" s="74" t="s">
        <v>11</v>
      </c>
      <c r="F36" s="85">
        <f>SUMIFS(tblSalesTargets[Target Amount],tblSalesTargets[MonthYear],A36,tblSalesTargets[Salesperson ID],C36)</f>
        <v>2205000</v>
      </c>
      <c r="G36" s="85">
        <f>SUMIFS(tblSalesTransactions[Sales Amount],tblSalesTransactions[Salesperson ID],C36,tblSalesTransactions[Date],"&gt;="&amp;A36,tblSalesTransactions[Date],"&lt;"&amp;EDATE(A36,1))</f>
        <v>347500</v>
      </c>
      <c r="H36" s="85">
        <f t="shared" si="2"/>
        <v>-1857500</v>
      </c>
      <c r="I36" s="87">
        <f t="shared" si="3"/>
        <v>0.15759637188208617</v>
      </c>
      <c r="J36" s="74" t="str">
        <f t="shared" si="4"/>
        <v>Below Target</v>
      </c>
      <c r="S36">
        <f>SUMIFS(tblSalesTargets[Target Amount],tblSalesTargets[MonthYear],A36,tblSalesTargets[Salesperson ID],C36)</f>
        <v>2205000</v>
      </c>
      <c r="T36">
        <f>SUMIFS(tblSalesTransactions[Sales Amount],tblSalesTransactions[Salesperson ID],C36,tblSalesTransactions[Date],"&gt;="&amp;A36,tblSalesTransactions[Date],"&lt;"&amp;EDATE(A36,1))</f>
        <v>347500</v>
      </c>
      <c r="U36" s="10">
        <f t="shared" ref="U36:U67" si="10">F36</f>
        <v>2205000</v>
      </c>
      <c r="V36" s="10">
        <f t="shared" ref="V36:V67" si="11">G36</f>
        <v>347500</v>
      </c>
      <c r="W36" t="b">
        <f t="shared" si="5"/>
        <v>1</v>
      </c>
      <c r="X36" t="b">
        <f t="shared" si="6"/>
        <v>1</v>
      </c>
    </row>
    <row r="37" spans="1:24">
      <c r="A37" s="88">
        <v>46082</v>
      </c>
      <c r="B37" s="74">
        <v>3</v>
      </c>
      <c r="C37" s="74" t="s">
        <v>46</v>
      </c>
      <c r="D37" s="74" t="s">
        <v>44</v>
      </c>
      <c r="E37" s="74" t="s">
        <v>14</v>
      </c>
      <c r="F37" s="85">
        <f>SUMIFS(tblSalesTargets[Target Amount],tblSalesTargets[MonthYear],A37,tblSalesTargets[Salesperson ID],C37)</f>
        <v>2310000</v>
      </c>
      <c r="G37" s="85">
        <f>SUMIFS(tblSalesTransactions[Sales Amount],tblSalesTransactions[Salesperson ID],C37,tblSalesTransactions[Date],"&gt;="&amp;A37,tblSalesTransactions[Date],"&lt;"&amp;EDATE(A37,1))</f>
        <v>297500</v>
      </c>
      <c r="H37" s="85">
        <f t="shared" si="2"/>
        <v>-2012500</v>
      </c>
      <c r="I37" s="87">
        <f t="shared" si="3"/>
        <v>0.12878787878787878</v>
      </c>
      <c r="J37" s="74" t="str">
        <f t="shared" si="4"/>
        <v>Below Target</v>
      </c>
      <c r="S37">
        <f>SUMIFS(tblSalesTargets[Target Amount],tblSalesTargets[MonthYear],A37,tblSalesTargets[Salesperson ID],C37)</f>
        <v>2310000</v>
      </c>
      <c r="T37">
        <f>SUMIFS(tblSalesTransactions[Sales Amount],tblSalesTransactions[Salesperson ID],C37,tblSalesTransactions[Date],"&gt;="&amp;A37,tblSalesTransactions[Date],"&lt;"&amp;EDATE(A37,1))</f>
        <v>297500</v>
      </c>
      <c r="U37" s="10">
        <f t="shared" si="10"/>
        <v>2310000</v>
      </c>
      <c r="V37" s="10">
        <f t="shared" si="11"/>
        <v>297500</v>
      </c>
      <c r="W37" t="b">
        <f t="shared" si="5"/>
        <v>1</v>
      </c>
      <c r="X37" t="b">
        <f t="shared" si="6"/>
        <v>1</v>
      </c>
    </row>
    <row r="38" spans="1:24">
      <c r="A38" s="88">
        <v>46082</v>
      </c>
      <c r="B38" s="74">
        <v>3</v>
      </c>
      <c r="C38" s="74" t="s">
        <v>48</v>
      </c>
      <c r="D38" s="74" t="s">
        <v>44</v>
      </c>
      <c r="E38" s="74" t="s">
        <v>14</v>
      </c>
      <c r="F38" s="85">
        <f>SUMIFS(tblSalesTargets[Target Amount],tblSalesTargets[MonthYear],A38,tblSalesTargets[Salesperson ID],C38)</f>
        <v>2100000</v>
      </c>
      <c r="G38" s="85">
        <f>SUMIFS(tblSalesTransactions[Sales Amount],tblSalesTransactions[Salesperson ID],C38,tblSalesTransactions[Date],"&gt;="&amp;A38,tblSalesTransactions[Date],"&lt;"&amp;EDATE(A38,1))</f>
        <v>319000</v>
      </c>
      <c r="H38" s="85">
        <f t="shared" si="2"/>
        <v>-1781000</v>
      </c>
      <c r="I38" s="87">
        <f t="shared" si="3"/>
        <v>0.1519047619047619</v>
      </c>
      <c r="J38" s="74" t="str">
        <f t="shared" si="4"/>
        <v>Below Target</v>
      </c>
      <c r="S38">
        <f>SUMIFS(tblSalesTargets[Target Amount],tblSalesTargets[MonthYear],A38,tblSalesTargets[Salesperson ID],C38)</f>
        <v>2100000</v>
      </c>
      <c r="T38">
        <f>SUMIFS(tblSalesTransactions[Sales Amount],tblSalesTransactions[Salesperson ID],C38,tblSalesTransactions[Date],"&gt;="&amp;A38,tblSalesTransactions[Date],"&lt;"&amp;EDATE(A38,1))</f>
        <v>319000</v>
      </c>
      <c r="U38" s="10">
        <f t="shared" si="10"/>
        <v>2100000</v>
      </c>
      <c r="V38" s="10">
        <f t="shared" si="11"/>
        <v>319000</v>
      </c>
      <c r="W38" t="b">
        <f t="shared" si="5"/>
        <v>1</v>
      </c>
      <c r="X38" t="b">
        <f t="shared" si="6"/>
        <v>1</v>
      </c>
    </row>
    <row r="39" spans="1:24">
      <c r="A39" s="88">
        <v>46082</v>
      </c>
      <c r="B39" s="74">
        <v>3</v>
      </c>
      <c r="C39" s="74" t="s">
        <v>50</v>
      </c>
      <c r="D39" s="74" t="s">
        <v>44</v>
      </c>
      <c r="E39" s="74" t="s">
        <v>14</v>
      </c>
      <c r="F39" s="85">
        <f>SUMIFS(tblSalesTargets[Target Amount],tblSalesTargets[MonthYear],A39,tblSalesTargets[Salesperson ID],C39)</f>
        <v>1995000</v>
      </c>
      <c r="G39" s="85">
        <f>SUMIFS(tblSalesTransactions[Sales Amount],tblSalesTransactions[Salesperson ID],C39,tblSalesTransactions[Date],"&gt;="&amp;A39,tblSalesTransactions[Date],"&lt;"&amp;EDATE(A39,1))</f>
        <v>280500</v>
      </c>
      <c r="H39" s="85">
        <f t="shared" si="2"/>
        <v>-1714500</v>
      </c>
      <c r="I39" s="87">
        <f t="shared" si="3"/>
        <v>0.14060150375939851</v>
      </c>
      <c r="J39" s="74" t="str">
        <f t="shared" si="4"/>
        <v>Below Target</v>
      </c>
      <c r="S39">
        <f>SUMIFS(tblSalesTargets[Target Amount],tblSalesTargets[MonthYear],A39,tblSalesTargets[Salesperson ID],C39)</f>
        <v>1995000</v>
      </c>
      <c r="T39">
        <f>SUMIFS(tblSalesTransactions[Sales Amount],tblSalesTransactions[Salesperson ID],C39,tblSalesTransactions[Date],"&gt;="&amp;A39,tblSalesTransactions[Date],"&lt;"&amp;EDATE(A39,1))</f>
        <v>280500</v>
      </c>
      <c r="U39" s="10">
        <f t="shared" si="10"/>
        <v>1995000</v>
      </c>
      <c r="V39" s="10">
        <f t="shared" si="11"/>
        <v>280500</v>
      </c>
      <c r="W39" t="b">
        <f t="shared" si="5"/>
        <v>1</v>
      </c>
      <c r="X39" t="b">
        <f t="shared" si="6"/>
        <v>1</v>
      </c>
    </row>
    <row r="40" spans="1:24">
      <c r="A40" s="88">
        <v>46113</v>
      </c>
      <c r="B40" s="74">
        <v>4</v>
      </c>
      <c r="C40" s="74" t="s">
        <v>22</v>
      </c>
      <c r="D40" s="74" t="s">
        <v>20</v>
      </c>
      <c r="E40" s="74" t="s">
        <v>4</v>
      </c>
      <c r="F40" s="85">
        <f>SUMIFS(tblSalesTargets[Target Amount],tblSalesTargets[MonthYear],A40,tblSalesTargets[Salesperson ID],C40)</f>
        <v>2450000</v>
      </c>
      <c r="G40" s="85">
        <f>SUMIFS(tblSalesTransactions[Sales Amount],tblSalesTransactions[Salesperson ID],C40,tblSalesTransactions[Date],"&gt;="&amp;A40,tblSalesTransactions[Date],"&lt;"&amp;EDATE(A40,1))</f>
        <v>216000</v>
      </c>
      <c r="H40" s="85">
        <f t="shared" si="2"/>
        <v>-2234000</v>
      </c>
      <c r="I40" s="87">
        <f t="shared" si="3"/>
        <v>8.8163265306122451E-2</v>
      </c>
      <c r="J40" s="74" t="str">
        <f t="shared" si="4"/>
        <v>Below Target</v>
      </c>
      <c r="S40">
        <f>SUMIFS(tblSalesTargets[Target Amount],tblSalesTargets[MonthYear],A40,tblSalesTargets[Salesperson ID],C40)</f>
        <v>2450000</v>
      </c>
      <c r="T40">
        <f>SUMIFS(tblSalesTransactions[Sales Amount],tblSalesTransactions[Salesperson ID],C40,tblSalesTransactions[Date],"&gt;="&amp;A40,tblSalesTransactions[Date],"&lt;"&amp;EDATE(A40,1))</f>
        <v>216000</v>
      </c>
      <c r="U40" s="10">
        <f t="shared" si="10"/>
        <v>2450000</v>
      </c>
      <c r="V40" s="10">
        <f t="shared" si="11"/>
        <v>216000</v>
      </c>
      <c r="W40" t="b">
        <f t="shared" si="5"/>
        <v>1</v>
      </c>
      <c r="X40" t="b">
        <f t="shared" si="6"/>
        <v>1</v>
      </c>
    </row>
    <row r="41" spans="1:24">
      <c r="A41" s="88">
        <v>46113</v>
      </c>
      <c r="B41" s="74">
        <v>4</v>
      </c>
      <c r="C41" s="74" t="s">
        <v>24</v>
      </c>
      <c r="D41" s="74" t="s">
        <v>20</v>
      </c>
      <c r="E41" s="74" t="s">
        <v>4</v>
      </c>
      <c r="F41" s="85">
        <f>SUMIFS(tblSalesTargets[Target Amount],tblSalesTargets[MonthYear],A41,tblSalesTargets[Salesperson ID],C41)</f>
        <v>2254000</v>
      </c>
      <c r="G41" s="85">
        <f>SUMIFS(tblSalesTransactions[Sales Amount],tblSalesTransactions[Salesperson ID],C41,tblSalesTransactions[Date],"&gt;="&amp;A41,tblSalesTransactions[Date],"&lt;"&amp;EDATE(A41,1))</f>
        <v>265500</v>
      </c>
      <c r="H41" s="85">
        <f t="shared" si="2"/>
        <v>-1988500</v>
      </c>
      <c r="I41" s="87">
        <f t="shared" si="3"/>
        <v>0.11779059449866904</v>
      </c>
      <c r="J41" s="74" t="str">
        <f t="shared" si="4"/>
        <v>Below Target</v>
      </c>
      <c r="S41">
        <f>SUMIFS(tblSalesTargets[Target Amount],tblSalesTargets[MonthYear],A41,tblSalesTargets[Salesperson ID],C41)</f>
        <v>2254000</v>
      </c>
      <c r="T41">
        <f>SUMIFS(tblSalesTransactions[Sales Amount],tblSalesTransactions[Salesperson ID],C41,tblSalesTransactions[Date],"&gt;="&amp;A41,tblSalesTransactions[Date],"&lt;"&amp;EDATE(A41,1))</f>
        <v>265500</v>
      </c>
      <c r="U41" s="10">
        <f t="shared" si="10"/>
        <v>2254000</v>
      </c>
      <c r="V41" s="10">
        <f t="shared" si="11"/>
        <v>265500</v>
      </c>
      <c r="W41" t="b">
        <f t="shared" si="5"/>
        <v>1</v>
      </c>
      <c r="X41" t="b">
        <f t="shared" si="6"/>
        <v>1</v>
      </c>
    </row>
    <row r="42" spans="1:24">
      <c r="A42" s="88">
        <v>46113</v>
      </c>
      <c r="B42" s="74">
        <v>4</v>
      </c>
      <c r="C42" s="74" t="s">
        <v>26</v>
      </c>
      <c r="D42" s="74" t="s">
        <v>20</v>
      </c>
      <c r="E42" s="74" t="s">
        <v>4</v>
      </c>
      <c r="F42" s="85">
        <f>SUMIFS(tblSalesTargets[Target Amount],tblSalesTargets[MonthYear],A42,tblSalesTargets[Salesperson ID],C42)</f>
        <v>2156000</v>
      </c>
      <c r="G42" s="85">
        <f>SUMIFS(tblSalesTransactions[Sales Amount],tblSalesTransactions[Salesperson ID],C42,tblSalesTransactions[Date],"&gt;="&amp;A42,tblSalesTransactions[Date],"&lt;"&amp;EDATE(A42,1))</f>
        <v>228250</v>
      </c>
      <c r="H42" s="85">
        <f t="shared" si="2"/>
        <v>-1927750</v>
      </c>
      <c r="I42" s="87">
        <f t="shared" si="3"/>
        <v>0.10586734693877552</v>
      </c>
      <c r="J42" s="74" t="str">
        <f t="shared" si="4"/>
        <v>Below Target</v>
      </c>
      <c r="S42">
        <f>SUMIFS(tblSalesTargets[Target Amount],tblSalesTargets[MonthYear],A42,tblSalesTargets[Salesperson ID],C42)</f>
        <v>2156000</v>
      </c>
      <c r="T42">
        <f>SUMIFS(tblSalesTransactions[Sales Amount],tblSalesTransactions[Salesperson ID],C42,tblSalesTransactions[Date],"&gt;="&amp;A42,tblSalesTransactions[Date],"&lt;"&amp;EDATE(A42,1))</f>
        <v>228250</v>
      </c>
      <c r="U42" s="10">
        <f t="shared" si="10"/>
        <v>2156000</v>
      </c>
      <c r="V42" s="10">
        <f t="shared" si="11"/>
        <v>228250</v>
      </c>
      <c r="W42" t="b">
        <f t="shared" si="5"/>
        <v>1</v>
      </c>
      <c r="X42" t="b">
        <f t="shared" si="6"/>
        <v>1</v>
      </c>
    </row>
    <row r="43" spans="1:24">
      <c r="A43" s="88">
        <v>46113</v>
      </c>
      <c r="B43" s="74">
        <v>4</v>
      </c>
      <c r="C43" s="74" t="s">
        <v>30</v>
      </c>
      <c r="D43" s="74" t="s">
        <v>28</v>
      </c>
      <c r="E43" s="74" t="s">
        <v>8</v>
      </c>
      <c r="F43" s="85">
        <f>SUMIFS(tblSalesTargets[Target Amount],tblSalesTargets[MonthYear],A43,tblSalesTargets[Salesperson ID],C43)</f>
        <v>2646000</v>
      </c>
      <c r="G43" s="85">
        <f>SUMIFS(tblSalesTransactions[Sales Amount],tblSalesTransactions[Salesperson ID],C43,tblSalesTransactions[Date],"&gt;="&amp;A43,tblSalesTransactions[Date],"&lt;"&amp;EDATE(A43,1))</f>
        <v>433500</v>
      </c>
      <c r="H43" s="85">
        <f t="shared" si="2"/>
        <v>-2212500</v>
      </c>
      <c r="I43" s="87">
        <f t="shared" si="3"/>
        <v>0.16383219954648526</v>
      </c>
      <c r="J43" s="74" t="str">
        <f t="shared" si="4"/>
        <v>Below Target</v>
      </c>
      <c r="S43">
        <f>SUMIFS(tblSalesTargets[Target Amount],tblSalesTargets[MonthYear],A43,tblSalesTargets[Salesperson ID],C43)</f>
        <v>2646000</v>
      </c>
      <c r="T43">
        <f>SUMIFS(tblSalesTransactions[Sales Amount],tblSalesTransactions[Salesperson ID],C43,tblSalesTransactions[Date],"&gt;="&amp;A43,tblSalesTransactions[Date],"&lt;"&amp;EDATE(A43,1))</f>
        <v>433500</v>
      </c>
      <c r="U43" s="10">
        <f t="shared" si="10"/>
        <v>2646000</v>
      </c>
      <c r="V43" s="10">
        <f t="shared" si="11"/>
        <v>433500</v>
      </c>
      <c r="W43" t="b">
        <f t="shared" si="5"/>
        <v>1</v>
      </c>
      <c r="X43" t="b">
        <f t="shared" si="6"/>
        <v>1</v>
      </c>
    </row>
    <row r="44" spans="1:24">
      <c r="A44" s="88">
        <v>46113</v>
      </c>
      <c r="B44" s="74">
        <v>4</v>
      </c>
      <c r="C44" s="74" t="s">
        <v>32</v>
      </c>
      <c r="D44" s="74" t="s">
        <v>28</v>
      </c>
      <c r="E44" s="74" t="s">
        <v>8</v>
      </c>
      <c r="F44" s="85">
        <f>SUMIFS(tblSalesTargets[Target Amount],tblSalesTargets[MonthYear],A44,tblSalesTargets[Salesperson ID],C44)</f>
        <v>2450000</v>
      </c>
      <c r="G44" s="85">
        <f>SUMIFS(tblSalesTransactions[Sales Amount],tblSalesTransactions[Salesperson ID],C44,tblSalesTransactions[Date],"&gt;="&amp;A44,tblSalesTransactions[Date],"&lt;"&amp;EDATE(A44,1))</f>
        <v>435000</v>
      </c>
      <c r="H44" s="85">
        <f t="shared" si="2"/>
        <v>-2015000</v>
      </c>
      <c r="I44" s="87">
        <f t="shared" si="3"/>
        <v>0.17755102040816326</v>
      </c>
      <c r="J44" s="74" t="str">
        <f t="shared" si="4"/>
        <v>Below Target</v>
      </c>
      <c r="S44">
        <f>SUMIFS(tblSalesTargets[Target Amount],tblSalesTargets[MonthYear],A44,tblSalesTargets[Salesperson ID],C44)</f>
        <v>2450000</v>
      </c>
      <c r="T44">
        <f>SUMIFS(tblSalesTransactions[Sales Amount],tblSalesTransactions[Salesperson ID],C44,tblSalesTransactions[Date],"&gt;="&amp;A44,tblSalesTransactions[Date],"&lt;"&amp;EDATE(A44,1))</f>
        <v>435000</v>
      </c>
      <c r="U44" s="10">
        <f t="shared" si="10"/>
        <v>2450000</v>
      </c>
      <c r="V44" s="10">
        <f t="shared" si="11"/>
        <v>435000</v>
      </c>
      <c r="W44" t="b">
        <f t="shared" si="5"/>
        <v>1</v>
      </c>
      <c r="X44" t="b">
        <f t="shared" si="6"/>
        <v>1</v>
      </c>
    </row>
    <row r="45" spans="1:24">
      <c r="A45" s="88">
        <v>46113</v>
      </c>
      <c r="B45" s="74">
        <v>4</v>
      </c>
      <c r="C45" s="74" t="s">
        <v>34</v>
      </c>
      <c r="D45" s="74" t="s">
        <v>28</v>
      </c>
      <c r="E45" s="74" t="s">
        <v>8</v>
      </c>
      <c r="F45" s="85">
        <f>SUMIFS(tblSalesTargets[Target Amount],tblSalesTargets[MonthYear],A45,tblSalesTargets[Salesperson ID],C45)</f>
        <v>2254000</v>
      </c>
      <c r="G45" s="85">
        <f>SUMIFS(tblSalesTransactions[Sales Amount],tblSalesTransactions[Salesperson ID],C45,tblSalesTransactions[Date],"&gt;="&amp;A45,tblSalesTransactions[Date],"&lt;"&amp;EDATE(A45,1))</f>
        <v>296250</v>
      </c>
      <c r="H45" s="85">
        <f t="shared" si="2"/>
        <v>-1957750</v>
      </c>
      <c r="I45" s="87">
        <f t="shared" si="3"/>
        <v>0.13143300798580301</v>
      </c>
      <c r="J45" s="74" t="str">
        <f t="shared" si="4"/>
        <v>Below Target</v>
      </c>
      <c r="S45">
        <f>SUMIFS(tblSalesTargets[Target Amount],tblSalesTargets[MonthYear],A45,tblSalesTargets[Salesperson ID],C45)</f>
        <v>2254000</v>
      </c>
      <c r="T45">
        <f>SUMIFS(tblSalesTransactions[Sales Amount],tblSalesTransactions[Salesperson ID],C45,tblSalesTransactions[Date],"&gt;="&amp;A45,tblSalesTransactions[Date],"&lt;"&amp;EDATE(A45,1))</f>
        <v>296250</v>
      </c>
      <c r="U45" s="10">
        <f t="shared" si="10"/>
        <v>2254000</v>
      </c>
      <c r="V45" s="10">
        <f t="shared" si="11"/>
        <v>296250</v>
      </c>
      <c r="W45" t="b">
        <f t="shared" si="5"/>
        <v>1</v>
      </c>
      <c r="X45" t="b">
        <f t="shared" si="6"/>
        <v>1</v>
      </c>
    </row>
    <row r="46" spans="1:24">
      <c r="A46" s="88">
        <v>46113</v>
      </c>
      <c r="B46" s="74">
        <v>4</v>
      </c>
      <c r="C46" s="74" t="s">
        <v>38</v>
      </c>
      <c r="D46" s="74" t="s">
        <v>36</v>
      </c>
      <c r="E46" s="74" t="s">
        <v>11</v>
      </c>
      <c r="F46" s="85">
        <f>SUMIFS(tblSalesTargets[Target Amount],tblSalesTargets[MonthYear],A46,tblSalesTargets[Salesperson ID],C46)</f>
        <v>2352000</v>
      </c>
      <c r="G46" s="85">
        <f>SUMIFS(tblSalesTransactions[Sales Amount],tblSalesTransactions[Salesperson ID],C46,tblSalesTransactions[Date],"&gt;="&amp;A46,tblSalesTransactions[Date],"&lt;"&amp;EDATE(A46,1))</f>
        <v>460500</v>
      </c>
      <c r="H46" s="85">
        <f t="shared" si="2"/>
        <v>-1891500</v>
      </c>
      <c r="I46" s="87">
        <f t="shared" si="3"/>
        <v>0.19579081632653061</v>
      </c>
      <c r="J46" s="74" t="str">
        <f t="shared" si="4"/>
        <v>Below Target</v>
      </c>
      <c r="S46">
        <f>SUMIFS(tblSalesTargets[Target Amount],tblSalesTargets[MonthYear],A46,tblSalesTargets[Salesperson ID],C46)</f>
        <v>2352000</v>
      </c>
      <c r="T46">
        <f>SUMIFS(tblSalesTransactions[Sales Amount],tblSalesTransactions[Salesperson ID],C46,tblSalesTransactions[Date],"&gt;="&amp;A46,tblSalesTransactions[Date],"&lt;"&amp;EDATE(A46,1))</f>
        <v>460500</v>
      </c>
      <c r="U46" s="10">
        <f t="shared" si="10"/>
        <v>2352000</v>
      </c>
      <c r="V46" s="10">
        <f t="shared" si="11"/>
        <v>460500</v>
      </c>
      <c r="W46" t="b">
        <f t="shared" si="5"/>
        <v>1</v>
      </c>
      <c r="X46" t="b">
        <f t="shared" si="6"/>
        <v>1</v>
      </c>
    </row>
    <row r="47" spans="1:24">
      <c r="A47" s="88">
        <v>46113</v>
      </c>
      <c r="B47" s="74">
        <v>4</v>
      </c>
      <c r="C47" s="74" t="s">
        <v>40</v>
      </c>
      <c r="D47" s="74" t="s">
        <v>36</v>
      </c>
      <c r="E47" s="74" t="s">
        <v>11</v>
      </c>
      <c r="F47" s="85">
        <f>SUMIFS(tblSalesTargets[Target Amount],tblSalesTargets[MonthYear],A47,tblSalesTargets[Salesperson ID],C47)</f>
        <v>2156000</v>
      </c>
      <c r="G47" s="85">
        <f>SUMIFS(tblSalesTransactions[Sales Amount],tblSalesTransactions[Salesperson ID],C47,tblSalesTransactions[Date],"&gt;="&amp;A47,tblSalesTransactions[Date],"&lt;"&amp;EDATE(A47,1))</f>
        <v>469000</v>
      </c>
      <c r="H47" s="85">
        <f t="shared" si="2"/>
        <v>-1687000</v>
      </c>
      <c r="I47" s="87">
        <f t="shared" si="3"/>
        <v>0.21753246753246752</v>
      </c>
      <c r="J47" s="74" t="str">
        <f t="shared" si="4"/>
        <v>Below Target</v>
      </c>
      <c r="S47">
        <f>SUMIFS(tblSalesTargets[Target Amount],tblSalesTargets[MonthYear],A47,tblSalesTargets[Salesperson ID],C47)</f>
        <v>2156000</v>
      </c>
      <c r="T47">
        <f>SUMIFS(tblSalesTransactions[Sales Amount],tblSalesTransactions[Salesperson ID],C47,tblSalesTransactions[Date],"&gt;="&amp;A47,tblSalesTransactions[Date],"&lt;"&amp;EDATE(A47,1))</f>
        <v>469000</v>
      </c>
      <c r="U47" s="10">
        <f t="shared" si="10"/>
        <v>2156000</v>
      </c>
      <c r="V47" s="10">
        <f t="shared" si="11"/>
        <v>469000</v>
      </c>
      <c r="W47" t="b">
        <f t="shared" si="5"/>
        <v>1</v>
      </c>
      <c r="X47" t="b">
        <f t="shared" si="6"/>
        <v>1</v>
      </c>
    </row>
    <row r="48" spans="1:24">
      <c r="A48" s="88">
        <v>46113</v>
      </c>
      <c r="B48" s="74">
        <v>4</v>
      </c>
      <c r="C48" s="74" t="s">
        <v>42</v>
      </c>
      <c r="D48" s="74" t="s">
        <v>36</v>
      </c>
      <c r="E48" s="74" t="s">
        <v>11</v>
      </c>
      <c r="F48" s="85">
        <f>SUMIFS(tblSalesTargets[Target Amount],tblSalesTargets[MonthYear],A48,tblSalesTargets[Salesperson ID],C48)</f>
        <v>2058000</v>
      </c>
      <c r="G48" s="85">
        <f>SUMIFS(tblSalesTransactions[Sales Amount],tblSalesTransactions[Salesperson ID],C48,tblSalesTransactions[Date],"&gt;="&amp;A48,tblSalesTransactions[Date],"&lt;"&amp;EDATE(A48,1))</f>
        <v>296750</v>
      </c>
      <c r="H48" s="85">
        <f t="shared" si="2"/>
        <v>-1761250</v>
      </c>
      <c r="I48" s="87">
        <f t="shared" si="3"/>
        <v>0.14419339164237124</v>
      </c>
      <c r="J48" s="74" t="str">
        <f t="shared" si="4"/>
        <v>Below Target</v>
      </c>
      <c r="S48">
        <f>SUMIFS(tblSalesTargets[Target Amount],tblSalesTargets[MonthYear],A48,tblSalesTargets[Salesperson ID],C48)</f>
        <v>2058000</v>
      </c>
      <c r="T48">
        <f>SUMIFS(tblSalesTransactions[Sales Amount],tblSalesTransactions[Salesperson ID],C48,tblSalesTransactions[Date],"&gt;="&amp;A48,tblSalesTransactions[Date],"&lt;"&amp;EDATE(A48,1))</f>
        <v>296750</v>
      </c>
      <c r="U48" s="10">
        <f t="shared" si="10"/>
        <v>2058000</v>
      </c>
      <c r="V48" s="10">
        <f t="shared" si="11"/>
        <v>296750</v>
      </c>
      <c r="W48" t="b">
        <f t="shared" si="5"/>
        <v>1</v>
      </c>
      <c r="X48" t="b">
        <f t="shared" si="6"/>
        <v>1</v>
      </c>
    </row>
    <row r="49" spans="1:24">
      <c r="A49" s="88">
        <v>46113</v>
      </c>
      <c r="B49" s="74">
        <v>4</v>
      </c>
      <c r="C49" s="74" t="s">
        <v>46</v>
      </c>
      <c r="D49" s="74" t="s">
        <v>44</v>
      </c>
      <c r="E49" s="74" t="s">
        <v>14</v>
      </c>
      <c r="F49" s="85">
        <f>SUMIFS(tblSalesTargets[Target Amount],tblSalesTargets[MonthYear],A49,tblSalesTargets[Salesperson ID],C49)</f>
        <v>2156000</v>
      </c>
      <c r="G49" s="85">
        <f>SUMIFS(tblSalesTransactions[Sales Amount],tblSalesTransactions[Salesperson ID],C49,tblSalesTransactions[Date],"&gt;="&amp;A49,tblSalesTransactions[Date],"&lt;"&amp;EDATE(A49,1))</f>
        <v>267750</v>
      </c>
      <c r="H49" s="85">
        <f t="shared" si="2"/>
        <v>-1888250</v>
      </c>
      <c r="I49" s="87">
        <f t="shared" si="3"/>
        <v>0.12418831168831169</v>
      </c>
      <c r="J49" s="74" t="str">
        <f t="shared" si="4"/>
        <v>Below Target</v>
      </c>
      <c r="S49">
        <f>SUMIFS(tblSalesTargets[Target Amount],tblSalesTargets[MonthYear],A49,tblSalesTargets[Salesperson ID],C49)</f>
        <v>2156000</v>
      </c>
      <c r="T49">
        <f>SUMIFS(tblSalesTransactions[Sales Amount],tblSalesTransactions[Salesperson ID],C49,tblSalesTransactions[Date],"&gt;="&amp;A49,tblSalesTransactions[Date],"&lt;"&amp;EDATE(A49,1))</f>
        <v>267750</v>
      </c>
      <c r="U49" s="10">
        <f t="shared" si="10"/>
        <v>2156000</v>
      </c>
      <c r="V49" s="10">
        <f t="shared" si="11"/>
        <v>267750</v>
      </c>
      <c r="W49" t="b">
        <f t="shared" si="5"/>
        <v>1</v>
      </c>
      <c r="X49" t="b">
        <f t="shared" si="6"/>
        <v>1</v>
      </c>
    </row>
    <row r="50" spans="1:24">
      <c r="A50" s="88">
        <v>46113</v>
      </c>
      <c r="B50" s="74">
        <v>4</v>
      </c>
      <c r="C50" s="74" t="s">
        <v>48</v>
      </c>
      <c r="D50" s="74" t="s">
        <v>44</v>
      </c>
      <c r="E50" s="74" t="s">
        <v>14</v>
      </c>
      <c r="F50" s="85">
        <f>SUMIFS(tblSalesTargets[Target Amount],tblSalesTargets[MonthYear],A50,tblSalesTargets[Salesperson ID],C50)</f>
        <v>1960000</v>
      </c>
      <c r="G50" s="85">
        <f>SUMIFS(tblSalesTransactions[Sales Amount],tblSalesTransactions[Salesperson ID],C50,tblSalesTransactions[Date],"&gt;="&amp;A50,tblSalesTransactions[Date],"&lt;"&amp;EDATE(A50,1))</f>
        <v>282250</v>
      </c>
      <c r="H50" s="85">
        <f t="shared" si="2"/>
        <v>-1677750</v>
      </c>
      <c r="I50" s="87">
        <f t="shared" si="3"/>
        <v>0.14400510204081632</v>
      </c>
      <c r="J50" s="74" t="str">
        <f t="shared" si="4"/>
        <v>Below Target</v>
      </c>
      <c r="S50">
        <f>SUMIFS(tblSalesTargets[Target Amount],tblSalesTargets[MonthYear],A50,tblSalesTargets[Salesperson ID],C50)</f>
        <v>1960000</v>
      </c>
      <c r="T50">
        <f>SUMIFS(tblSalesTransactions[Sales Amount],tblSalesTransactions[Salesperson ID],C50,tblSalesTransactions[Date],"&gt;="&amp;A50,tblSalesTransactions[Date],"&lt;"&amp;EDATE(A50,1))</f>
        <v>282250</v>
      </c>
      <c r="U50" s="10">
        <f t="shared" si="10"/>
        <v>1960000</v>
      </c>
      <c r="V50" s="10">
        <f t="shared" si="11"/>
        <v>282250</v>
      </c>
      <c r="W50" t="b">
        <f t="shared" si="5"/>
        <v>1</v>
      </c>
      <c r="X50" t="b">
        <f t="shared" si="6"/>
        <v>1</v>
      </c>
    </row>
    <row r="51" spans="1:24">
      <c r="A51" s="88">
        <v>46113</v>
      </c>
      <c r="B51" s="74">
        <v>4</v>
      </c>
      <c r="C51" s="74" t="s">
        <v>50</v>
      </c>
      <c r="D51" s="74" t="s">
        <v>44</v>
      </c>
      <c r="E51" s="74" t="s">
        <v>14</v>
      </c>
      <c r="F51" s="85">
        <f>SUMIFS(tblSalesTargets[Target Amount],tblSalesTargets[MonthYear],A51,tblSalesTargets[Salesperson ID],C51)</f>
        <v>1862000</v>
      </c>
      <c r="G51" s="85">
        <f>SUMIFS(tblSalesTransactions[Sales Amount],tblSalesTransactions[Salesperson ID],C51,tblSalesTransactions[Date],"&gt;="&amp;A51,tblSalesTransactions[Date],"&lt;"&amp;EDATE(A51,1))</f>
        <v>249250</v>
      </c>
      <c r="H51" s="85">
        <f t="shared" si="2"/>
        <v>-1612750</v>
      </c>
      <c r="I51" s="87">
        <f t="shared" si="3"/>
        <v>0.13386143931256714</v>
      </c>
      <c r="J51" s="74" t="str">
        <f t="shared" si="4"/>
        <v>Below Target</v>
      </c>
      <c r="S51">
        <f>SUMIFS(tblSalesTargets[Target Amount],tblSalesTargets[MonthYear],A51,tblSalesTargets[Salesperson ID],C51)</f>
        <v>1862000</v>
      </c>
      <c r="T51">
        <f>SUMIFS(tblSalesTransactions[Sales Amount],tblSalesTransactions[Salesperson ID],C51,tblSalesTransactions[Date],"&gt;="&amp;A51,tblSalesTransactions[Date],"&lt;"&amp;EDATE(A51,1))</f>
        <v>249250</v>
      </c>
      <c r="U51" s="10">
        <f t="shared" si="10"/>
        <v>1862000</v>
      </c>
      <c r="V51" s="10">
        <f t="shared" si="11"/>
        <v>249250</v>
      </c>
      <c r="W51" t="b">
        <f t="shared" si="5"/>
        <v>1</v>
      </c>
      <c r="X51" t="b">
        <f t="shared" si="6"/>
        <v>1</v>
      </c>
    </row>
    <row r="52" spans="1:24">
      <c r="A52" s="88">
        <v>46143</v>
      </c>
      <c r="B52" s="74">
        <v>5</v>
      </c>
      <c r="C52" s="74" t="s">
        <v>22</v>
      </c>
      <c r="D52" s="74" t="s">
        <v>20</v>
      </c>
      <c r="E52" s="74" t="s">
        <v>4</v>
      </c>
      <c r="F52" s="85">
        <f>SUMIFS(tblSalesTargets[Target Amount],tblSalesTargets[MonthYear],A52,tblSalesTargets[Salesperson ID],C52)</f>
        <v>2550000</v>
      </c>
      <c r="G52" s="85">
        <f>SUMIFS(tblSalesTransactions[Sales Amount],tblSalesTransactions[Salesperson ID],C52,tblSalesTransactions[Date],"&gt;="&amp;A52,tblSalesTransactions[Date],"&lt;"&amp;EDATE(A52,1))</f>
        <v>235500</v>
      </c>
      <c r="H52" s="85">
        <f t="shared" si="2"/>
        <v>-2314500</v>
      </c>
      <c r="I52" s="87">
        <f t="shared" si="3"/>
        <v>9.2352941176470582E-2</v>
      </c>
      <c r="J52" s="74" t="str">
        <f t="shared" si="4"/>
        <v>Below Target</v>
      </c>
      <c r="S52">
        <f>SUMIFS(tblSalesTargets[Target Amount],tblSalesTargets[MonthYear],A52,tblSalesTargets[Salesperson ID],C52)</f>
        <v>2550000</v>
      </c>
      <c r="T52">
        <f>SUMIFS(tblSalesTransactions[Sales Amount],tblSalesTransactions[Salesperson ID],C52,tblSalesTransactions[Date],"&gt;="&amp;A52,tblSalesTransactions[Date],"&lt;"&amp;EDATE(A52,1))</f>
        <v>235500</v>
      </c>
      <c r="U52" s="10">
        <f t="shared" si="10"/>
        <v>2550000</v>
      </c>
      <c r="V52" s="10">
        <f t="shared" si="11"/>
        <v>235500</v>
      </c>
      <c r="W52" t="b">
        <f t="shared" si="5"/>
        <v>1</v>
      </c>
      <c r="X52" t="b">
        <f t="shared" si="6"/>
        <v>1</v>
      </c>
    </row>
    <row r="53" spans="1:24">
      <c r="A53" s="88">
        <v>46143</v>
      </c>
      <c r="B53" s="74">
        <v>5</v>
      </c>
      <c r="C53" s="74" t="s">
        <v>24</v>
      </c>
      <c r="D53" s="74" t="s">
        <v>20</v>
      </c>
      <c r="E53" s="74" t="s">
        <v>4</v>
      </c>
      <c r="F53" s="85">
        <f>SUMIFS(tblSalesTargets[Target Amount],tblSalesTargets[MonthYear],A53,tblSalesTargets[Salesperson ID],C53)</f>
        <v>2346000</v>
      </c>
      <c r="G53" s="85">
        <f>SUMIFS(tblSalesTransactions[Sales Amount],tblSalesTransactions[Salesperson ID],C53,tblSalesTransactions[Date],"&gt;="&amp;A53,tblSalesTransactions[Date],"&lt;"&amp;EDATE(A53,1))</f>
        <v>355500</v>
      </c>
      <c r="H53" s="85">
        <f t="shared" si="2"/>
        <v>-1990500</v>
      </c>
      <c r="I53" s="87">
        <f t="shared" si="3"/>
        <v>0.15153452685421995</v>
      </c>
      <c r="J53" s="74" t="str">
        <f t="shared" si="4"/>
        <v>Below Target</v>
      </c>
      <c r="S53">
        <f>SUMIFS(tblSalesTargets[Target Amount],tblSalesTargets[MonthYear],A53,tblSalesTargets[Salesperson ID],C53)</f>
        <v>2346000</v>
      </c>
      <c r="T53">
        <f>SUMIFS(tblSalesTransactions[Sales Amount],tblSalesTransactions[Salesperson ID],C53,tblSalesTransactions[Date],"&gt;="&amp;A53,tblSalesTransactions[Date],"&lt;"&amp;EDATE(A53,1))</f>
        <v>355500</v>
      </c>
      <c r="U53" s="10">
        <f t="shared" si="10"/>
        <v>2346000</v>
      </c>
      <c r="V53" s="10">
        <f t="shared" si="11"/>
        <v>355500</v>
      </c>
      <c r="W53" t="b">
        <f t="shared" si="5"/>
        <v>1</v>
      </c>
      <c r="X53" t="b">
        <f t="shared" si="6"/>
        <v>1</v>
      </c>
    </row>
    <row r="54" spans="1:24">
      <c r="A54" s="88">
        <v>46143</v>
      </c>
      <c r="B54" s="74">
        <v>5</v>
      </c>
      <c r="C54" s="74" t="s">
        <v>26</v>
      </c>
      <c r="D54" s="74" t="s">
        <v>20</v>
      </c>
      <c r="E54" s="74" t="s">
        <v>4</v>
      </c>
      <c r="F54" s="85">
        <f>SUMIFS(tblSalesTargets[Target Amount],tblSalesTargets[MonthYear],A54,tblSalesTargets[Salesperson ID],C54)</f>
        <v>2244000</v>
      </c>
      <c r="G54" s="85">
        <f>SUMIFS(tblSalesTransactions[Sales Amount],tblSalesTransactions[Salesperson ID],C54,tblSalesTransactions[Date],"&gt;="&amp;A54,tblSalesTransactions[Date],"&lt;"&amp;EDATE(A54,1))</f>
        <v>327750</v>
      </c>
      <c r="H54" s="85">
        <f t="shared" si="2"/>
        <v>-1916250</v>
      </c>
      <c r="I54" s="87">
        <f t="shared" si="3"/>
        <v>0.14605614973262032</v>
      </c>
      <c r="J54" s="74" t="str">
        <f t="shared" si="4"/>
        <v>Below Target</v>
      </c>
      <c r="S54">
        <f>SUMIFS(tblSalesTargets[Target Amount],tblSalesTargets[MonthYear],A54,tblSalesTargets[Salesperson ID],C54)</f>
        <v>2244000</v>
      </c>
      <c r="T54">
        <f>SUMIFS(tblSalesTransactions[Sales Amount],tblSalesTransactions[Salesperson ID],C54,tblSalesTransactions[Date],"&gt;="&amp;A54,tblSalesTransactions[Date],"&lt;"&amp;EDATE(A54,1))</f>
        <v>327750</v>
      </c>
      <c r="U54" s="10">
        <f t="shared" si="10"/>
        <v>2244000</v>
      </c>
      <c r="V54" s="10">
        <f t="shared" si="11"/>
        <v>327750</v>
      </c>
      <c r="W54" t="b">
        <f t="shared" si="5"/>
        <v>1</v>
      </c>
      <c r="X54" t="b">
        <f t="shared" si="6"/>
        <v>1</v>
      </c>
    </row>
    <row r="55" spans="1:24">
      <c r="A55" s="88">
        <v>46143</v>
      </c>
      <c r="B55" s="74">
        <v>5</v>
      </c>
      <c r="C55" s="74" t="s">
        <v>30</v>
      </c>
      <c r="D55" s="74" t="s">
        <v>28</v>
      </c>
      <c r="E55" s="74" t="s">
        <v>8</v>
      </c>
      <c r="F55" s="85">
        <f>SUMIFS(tblSalesTargets[Target Amount],tblSalesTargets[MonthYear],A55,tblSalesTargets[Salesperson ID],C55)</f>
        <v>2754000</v>
      </c>
      <c r="G55" s="85">
        <f>SUMIFS(tblSalesTransactions[Sales Amount],tblSalesTransactions[Salesperson ID],C55,tblSalesTransactions[Date],"&gt;="&amp;A55,tblSalesTransactions[Date],"&lt;"&amp;EDATE(A55,1))</f>
        <v>445250</v>
      </c>
      <c r="H55" s="85">
        <f t="shared" si="2"/>
        <v>-2308750</v>
      </c>
      <c r="I55" s="87">
        <f t="shared" si="3"/>
        <v>0.16167392883079157</v>
      </c>
      <c r="J55" s="74" t="str">
        <f t="shared" si="4"/>
        <v>Below Target</v>
      </c>
      <c r="S55">
        <f>SUMIFS(tblSalesTargets[Target Amount],tblSalesTargets[MonthYear],A55,tblSalesTargets[Salesperson ID],C55)</f>
        <v>2754000</v>
      </c>
      <c r="T55">
        <f>SUMIFS(tblSalesTransactions[Sales Amount],tblSalesTransactions[Salesperson ID],C55,tblSalesTransactions[Date],"&gt;="&amp;A55,tblSalesTransactions[Date],"&lt;"&amp;EDATE(A55,1))</f>
        <v>445250</v>
      </c>
      <c r="U55" s="10">
        <f t="shared" si="10"/>
        <v>2754000</v>
      </c>
      <c r="V55" s="10">
        <f t="shared" si="11"/>
        <v>445250</v>
      </c>
      <c r="W55" t="b">
        <f t="shared" si="5"/>
        <v>1</v>
      </c>
      <c r="X55" t="b">
        <f t="shared" si="6"/>
        <v>1</v>
      </c>
    </row>
    <row r="56" spans="1:24">
      <c r="A56" s="88">
        <v>46143</v>
      </c>
      <c r="B56" s="74">
        <v>5</v>
      </c>
      <c r="C56" s="74" t="s">
        <v>32</v>
      </c>
      <c r="D56" s="74" t="s">
        <v>28</v>
      </c>
      <c r="E56" s="74" t="s">
        <v>8</v>
      </c>
      <c r="F56" s="85">
        <f>SUMIFS(tblSalesTargets[Target Amount],tblSalesTargets[MonthYear],A56,tblSalesTargets[Salesperson ID],C56)</f>
        <v>2550000</v>
      </c>
      <c r="G56" s="85">
        <f>SUMIFS(tblSalesTransactions[Sales Amount],tblSalesTransactions[Salesperson ID],C56,tblSalesTransactions[Date],"&gt;="&amp;A56,tblSalesTransactions[Date],"&lt;"&amp;EDATE(A56,1))</f>
        <v>435000</v>
      </c>
      <c r="H56" s="85">
        <f t="shared" si="2"/>
        <v>-2115000</v>
      </c>
      <c r="I56" s="87">
        <f t="shared" si="3"/>
        <v>0.17058823529411765</v>
      </c>
      <c r="J56" s="74" t="str">
        <f t="shared" si="4"/>
        <v>Below Target</v>
      </c>
      <c r="S56">
        <f>SUMIFS(tblSalesTargets[Target Amount],tblSalesTargets[MonthYear],A56,tblSalesTargets[Salesperson ID],C56)</f>
        <v>2550000</v>
      </c>
      <c r="T56">
        <f>SUMIFS(tblSalesTransactions[Sales Amount],tblSalesTransactions[Salesperson ID],C56,tblSalesTransactions[Date],"&gt;="&amp;A56,tblSalesTransactions[Date],"&lt;"&amp;EDATE(A56,1))</f>
        <v>435000</v>
      </c>
      <c r="U56" s="10">
        <f t="shared" si="10"/>
        <v>2550000</v>
      </c>
      <c r="V56" s="10">
        <f t="shared" si="11"/>
        <v>435000</v>
      </c>
      <c r="W56" t="b">
        <f t="shared" si="5"/>
        <v>1</v>
      </c>
      <c r="X56" t="b">
        <f t="shared" si="6"/>
        <v>1</v>
      </c>
    </row>
    <row r="57" spans="1:24">
      <c r="A57" s="88">
        <v>46143</v>
      </c>
      <c r="B57" s="74">
        <v>5</v>
      </c>
      <c r="C57" s="74" t="s">
        <v>34</v>
      </c>
      <c r="D57" s="74" t="s">
        <v>28</v>
      </c>
      <c r="E57" s="74" t="s">
        <v>8</v>
      </c>
      <c r="F57" s="85">
        <f>SUMIFS(tblSalesTargets[Target Amount],tblSalesTargets[MonthYear],A57,tblSalesTargets[Salesperson ID],C57)</f>
        <v>2346000</v>
      </c>
      <c r="G57" s="85">
        <f>SUMIFS(tblSalesTransactions[Sales Amount],tblSalesTransactions[Salesperson ID],C57,tblSalesTransactions[Date],"&gt;="&amp;A57,tblSalesTransactions[Date],"&lt;"&amp;EDATE(A57,1))</f>
        <v>458000</v>
      </c>
      <c r="H57" s="85">
        <f t="shared" si="2"/>
        <v>-1888000</v>
      </c>
      <c r="I57" s="87">
        <f t="shared" si="3"/>
        <v>0.19522591645353793</v>
      </c>
      <c r="J57" s="74" t="str">
        <f t="shared" si="4"/>
        <v>Below Target</v>
      </c>
      <c r="S57">
        <f>SUMIFS(tblSalesTargets[Target Amount],tblSalesTargets[MonthYear],A57,tblSalesTargets[Salesperson ID],C57)</f>
        <v>2346000</v>
      </c>
      <c r="T57">
        <f>SUMIFS(tblSalesTransactions[Sales Amount],tblSalesTransactions[Salesperson ID],C57,tblSalesTransactions[Date],"&gt;="&amp;A57,tblSalesTransactions[Date],"&lt;"&amp;EDATE(A57,1))</f>
        <v>458000</v>
      </c>
      <c r="U57" s="10">
        <f t="shared" si="10"/>
        <v>2346000</v>
      </c>
      <c r="V57" s="10">
        <f t="shared" si="11"/>
        <v>458000</v>
      </c>
      <c r="W57" t="b">
        <f t="shared" si="5"/>
        <v>1</v>
      </c>
      <c r="X57" t="b">
        <f t="shared" si="6"/>
        <v>1</v>
      </c>
    </row>
    <row r="58" spans="1:24">
      <c r="A58" s="88">
        <v>46143</v>
      </c>
      <c r="B58" s="74">
        <v>5</v>
      </c>
      <c r="C58" s="74" t="s">
        <v>38</v>
      </c>
      <c r="D58" s="74" t="s">
        <v>36</v>
      </c>
      <c r="E58" s="74" t="s">
        <v>11</v>
      </c>
      <c r="F58" s="85">
        <f>SUMIFS(tblSalesTargets[Target Amount],tblSalesTargets[MonthYear],A58,tblSalesTargets[Salesperson ID],C58)</f>
        <v>2448000</v>
      </c>
      <c r="G58" s="85">
        <f>SUMIFS(tblSalesTransactions[Sales Amount],tblSalesTransactions[Salesperson ID],C58,tblSalesTransactions[Date],"&gt;="&amp;A58,tblSalesTransactions[Date],"&lt;"&amp;EDATE(A58,1))</f>
        <v>520500</v>
      </c>
      <c r="H58" s="85">
        <f t="shared" si="2"/>
        <v>-1927500</v>
      </c>
      <c r="I58" s="87">
        <f t="shared" si="3"/>
        <v>0.21262254901960784</v>
      </c>
      <c r="J58" s="74" t="str">
        <f t="shared" si="4"/>
        <v>Below Target</v>
      </c>
      <c r="S58">
        <f>SUMIFS(tblSalesTargets[Target Amount],tblSalesTargets[MonthYear],A58,tblSalesTargets[Salesperson ID],C58)</f>
        <v>2448000</v>
      </c>
      <c r="T58">
        <f>SUMIFS(tblSalesTransactions[Sales Amount],tblSalesTransactions[Salesperson ID],C58,tblSalesTransactions[Date],"&gt;="&amp;A58,tblSalesTransactions[Date],"&lt;"&amp;EDATE(A58,1))</f>
        <v>520500</v>
      </c>
      <c r="U58" s="10">
        <f t="shared" si="10"/>
        <v>2448000</v>
      </c>
      <c r="V58" s="10">
        <f t="shared" si="11"/>
        <v>520500</v>
      </c>
      <c r="W58" t="b">
        <f t="shared" si="5"/>
        <v>1</v>
      </c>
      <c r="X58" t="b">
        <f t="shared" si="6"/>
        <v>1</v>
      </c>
    </row>
    <row r="59" spans="1:24">
      <c r="A59" s="88">
        <v>46143</v>
      </c>
      <c r="B59" s="74">
        <v>5</v>
      </c>
      <c r="C59" s="74" t="s">
        <v>40</v>
      </c>
      <c r="D59" s="74" t="s">
        <v>36</v>
      </c>
      <c r="E59" s="74" t="s">
        <v>11</v>
      </c>
      <c r="F59" s="85">
        <f>SUMIFS(tblSalesTargets[Target Amount],tblSalesTargets[MonthYear],A59,tblSalesTargets[Salesperson ID],C59)</f>
        <v>2244000</v>
      </c>
      <c r="G59" s="85">
        <f>SUMIFS(tblSalesTransactions[Sales Amount],tblSalesTransactions[Salesperson ID],C59,tblSalesTransactions[Date],"&gt;="&amp;A59,tblSalesTransactions[Date],"&lt;"&amp;EDATE(A59,1))</f>
        <v>566000</v>
      </c>
      <c r="H59" s="85">
        <f t="shared" si="2"/>
        <v>-1678000</v>
      </c>
      <c r="I59" s="87">
        <f t="shared" si="3"/>
        <v>0.2522281639928699</v>
      </c>
      <c r="J59" s="74" t="str">
        <f t="shared" si="4"/>
        <v>Below Target</v>
      </c>
      <c r="S59">
        <f>SUMIFS(tblSalesTargets[Target Amount],tblSalesTargets[MonthYear],A59,tblSalesTargets[Salesperson ID],C59)</f>
        <v>2244000</v>
      </c>
      <c r="T59">
        <f>SUMIFS(tblSalesTransactions[Sales Amount],tblSalesTransactions[Salesperson ID],C59,tblSalesTransactions[Date],"&gt;="&amp;A59,tblSalesTransactions[Date],"&lt;"&amp;EDATE(A59,1))</f>
        <v>566000</v>
      </c>
      <c r="U59" s="10">
        <f t="shared" si="10"/>
        <v>2244000</v>
      </c>
      <c r="V59" s="10">
        <f t="shared" si="11"/>
        <v>566000</v>
      </c>
      <c r="W59" t="b">
        <f t="shared" si="5"/>
        <v>1</v>
      </c>
      <c r="X59" t="b">
        <f t="shared" si="6"/>
        <v>1</v>
      </c>
    </row>
    <row r="60" spans="1:24">
      <c r="A60" s="88">
        <v>46143</v>
      </c>
      <c r="B60" s="74">
        <v>5</v>
      </c>
      <c r="C60" s="74" t="s">
        <v>42</v>
      </c>
      <c r="D60" s="74" t="s">
        <v>36</v>
      </c>
      <c r="E60" s="74" t="s">
        <v>11</v>
      </c>
      <c r="F60" s="85">
        <f>SUMIFS(tblSalesTargets[Target Amount],tblSalesTargets[MonthYear],A60,tblSalesTargets[Salesperson ID],C60)</f>
        <v>2142000</v>
      </c>
      <c r="G60" s="85">
        <f>SUMIFS(tblSalesTransactions[Sales Amount],tblSalesTransactions[Salesperson ID],C60,tblSalesTransactions[Date],"&gt;="&amp;A60,tblSalesTransactions[Date],"&lt;"&amp;EDATE(A60,1))</f>
        <v>358750</v>
      </c>
      <c r="H60" s="85">
        <f t="shared" si="2"/>
        <v>-1783250</v>
      </c>
      <c r="I60" s="87">
        <f t="shared" si="3"/>
        <v>0.16748366013071894</v>
      </c>
      <c r="J60" s="74" t="str">
        <f t="shared" si="4"/>
        <v>Below Target</v>
      </c>
      <c r="S60">
        <f>SUMIFS(tblSalesTargets[Target Amount],tblSalesTargets[MonthYear],A60,tblSalesTargets[Salesperson ID],C60)</f>
        <v>2142000</v>
      </c>
      <c r="T60">
        <f>SUMIFS(tblSalesTransactions[Sales Amount],tblSalesTransactions[Salesperson ID],C60,tblSalesTransactions[Date],"&gt;="&amp;A60,tblSalesTransactions[Date],"&lt;"&amp;EDATE(A60,1))</f>
        <v>358750</v>
      </c>
      <c r="U60" s="10">
        <f t="shared" si="10"/>
        <v>2142000</v>
      </c>
      <c r="V60" s="10">
        <f t="shared" si="11"/>
        <v>358750</v>
      </c>
      <c r="W60" t="b">
        <f t="shared" si="5"/>
        <v>1</v>
      </c>
      <c r="X60" t="b">
        <f t="shared" si="6"/>
        <v>1</v>
      </c>
    </row>
    <row r="61" spans="1:24">
      <c r="A61" s="88">
        <v>46143</v>
      </c>
      <c r="B61" s="74">
        <v>5</v>
      </c>
      <c r="C61" s="74" t="s">
        <v>46</v>
      </c>
      <c r="D61" s="74" t="s">
        <v>44</v>
      </c>
      <c r="E61" s="74" t="s">
        <v>14</v>
      </c>
      <c r="F61" s="85">
        <f>SUMIFS(tblSalesTargets[Target Amount],tblSalesTargets[MonthYear],A61,tblSalesTargets[Salesperson ID],C61)</f>
        <v>2244000</v>
      </c>
      <c r="G61" s="85">
        <f>SUMIFS(tblSalesTransactions[Sales Amount],tblSalesTransactions[Salesperson ID],C61,tblSalesTransactions[Date],"&gt;="&amp;A61,tblSalesTransactions[Date],"&lt;"&amp;EDATE(A61,1))</f>
        <v>300500</v>
      </c>
      <c r="H61" s="85">
        <f t="shared" si="2"/>
        <v>-1943500</v>
      </c>
      <c r="I61" s="87">
        <f t="shared" si="3"/>
        <v>0.1339126559714795</v>
      </c>
      <c r="J61" s="74" t="str">
        <f t="shared" si="4"/>
        <v>Below Target</v>
      </c>
      <c r="S61">
        <f>SUMIFS(tblSalesTargets[Target Amount],tblSalesTargets[MonthYear],A61,tblSalesTargets[Salesperson ID],C61)</f>
        <v>2244000</v>
      </c>
      <c r="T61">
        <f>SUMIFS(tblSalesTransactions[Sales Amount],tblSalesTransactions[Salesperson ID],C61,tblSalesTransactions[Date],"&gt;="&amp;A61,tblSalesTransactions[Date],"&lt;"&amp;EDATE(A61,1))</f>
        <v>300500</v>
      </c>
      <c r="U61" s="10">
        <f t="shared" si="10"/>
        <v>2244000</v>
      </c>
      <c r="V61" s="10">
        <f t="shared" si="11"/>
        <v>300500</v>
      </c>
      <c r="W61" t="b">
        <f t="shared" si="5"/>
        <v>1</v>
      </c>
      <c r="X61" t="b">
        <f t="shared" si="6"/>
        <v>1</v>
      </c>
    </row>
    <row r="62" spans="1:24">
      <c r="A62" s="88">
        <v>46143</v>
      </c>
      <c r="B62" s="74">
        <v>5</v>
      </c>
      <c r="C62" s="74" t="s">
        <v>48</v>
      </c>
      <c r="D62" s="74" t="s">
        <v>44</v>
      </c>
      <c r="E62" s="74" t="s">
        <v>14</v>
      </c>
      <c r="F62" s="85">
        <f>SUMIFS(tblSalesTargets[Target Amount],tblSalesTargets[MonthYear],A62,tblSalesTargets[Salesperson ID],C62)</f>
        <v>2040000</v>
      </c>
      <c r="G62" s="85">
        <f>SUMIFS(tblSalesTransactions[Sales Amount],tblSalesTransactions[Salesperson ID],C62,tblSalesTransactions[Date],"&gt;="&amp;A62,tblSalesTransactions[Date],"&lt;"&amp;EDATE(A62,1))</f>
        <v>306750</v>
      </c>
      <c r="H62" s="85">
        <f t="shared" si="2"/>
        <v>-1733250</v>
      </c>
      <c r="I62" s="87">
        <f t="shared" si="3"/>
        <v>0.15036764705882352</v>
      </c>
      <c r="J62" s="74" t="str">
        <f t="shared" si="4"/>
        <v>Below Target</v>
      </c>
      <c r="S62">
        <f>SUMIFS(tblSalesTargets[Target Amount],tblSalesTargets[MonthYear],A62,tblSalesTargets[Salesperson ID],C62)</f>
        <v>2040000</v>
      </c>
      <c r="T62">
        <f>SUMIFS(tblSalesTransactions[Sales Amount],tblSalesTransactions[Salesperson ID],C62,tblSalesTransactions[Date],"&gt;="&amp;A62,tblSalesTransactions[Date],"&lt;"&amp;EDATE(A62,1))</f>
        <v>306750</v>
      </c>
      <c r="U62" s="10">
        <f t="shared" si="10"/>
        <v>2040000</v>
      </c>
      <c r="V62" s="10">
        <f t="shared" si="11"/>
        <v>306750</v>
      </c>
      <c r="W62" t="b">
        <f t="shared" si="5"/>
        <v>1</v>
      </c>
      <c r="X62" t="b">
        <f t="shared" si="6"/>
        <v>1</v>
      </c>
    </row>
    <row r="63" spans="1:24">
      <c r="A63" s="88">
        <v>46143</v>
      </c>
      <c r="B63" s="74">
        <v>5</v>
      </c>
      <c r="C63" s="74" t="s">
        <v>50</v>
      </c>
      <c r="D63" s="74" t="s">
        <v>44</v>
      </c>
      <c r="E63" s="74" t="s">
        <v>14</v>
      </c>
      <c r="F63" s="85">
        <f>SUMIFS(tblSalesTargets[Target Amount],tblSalesTargets[MonthYear],A63,tblSalesTargets[Salesperson ID],C63)</f>
        <v>1938000</v>
      </c>
      <c r="G63" s="85">
        <f>SUMIFS(tblSalesTransactions[Sales Amount],tblSalesTransactions[Salesperson ID],C63,tblSalesTransactions[Date],"&gt;="&amp;A63,tblSalesTransactions[Date],"&lt;"&amp;EDATE(A63,1))</f>
        <v>292750</v>
      </c>
      <c r="H63" s="85">
        <f t="shared" si="2"/>
        <v>-1645250</v>
      </c>
      <c r="I63" s="87">
        <f t="shared" si="3"/>
        <v>0.15105779153766768</v>
      </c>
      <c r="J63" s="74" t="str">
        <f t="shared" si="4"/>
        <v>Below Target</v>
      </c>
      <c r="S63">
        <f>SUMIFS(tblSalesTargets[Target Amount],tblSalesTargets[MonthYear],A63,tblSalesTargets[Salesperson ID],C63)</f>
        <v>1938000</v>
      </c>
      <c r="T63">
        <f>SUMIFS(tblSalesTransactions[Sales Amount],tblSalesTransactions[Salesperson ID],C63,tblSalesTransactions[Date],"&gt;="&amp;A63,tblSalesTransactions[Date],"&lt;"&amp;EDATE(A63,1))</f>
        <v>292750</v>
      </c>
      <c r="U63" s="10">
        <f t="shared" si="10"/>
        <v>1938000</v>
      </c>
      <c r="V63" s="10">
        <f t="shared" si="11"/>
        <v>292750</v>
      </c>
      <c r="W63" t="b">
        <f t="shared" si="5"/>
        <v>1</v>
      </c>
      <c r="X63" t="b">
        <f t="shared" si="6"/>
        <v>1</v>
      </c>
    </row>
    <row r="64" spans="1:24">
      <c r="A64" s="88">
        <v>46174</v>
      </c>
      <c r="B64" s="74">
        <v>6</v>
      </c>
      <c r="C64" s="74" t="s">
        <v>22</v>
      </c>
      <c r="D64" s="74" t="s">
        <v>20</v>
      </c>
      <c r="E64" s="74" t="s">
        <v>4</v>
      </c>
      <c r="F64" s="85">
        <f>SUMIFS(tblSalesTargets[Target Amount],tblSalesTargets[MonthYear],A64,tblSalesTargets[Salesperson ID],C64)</f>
        <v>2700000</v>
      </c>
      <c r="G64" s="85">
        <f>SUMIFS(tblSalesTransactions[Sales Amount],tblSalesTransactions[Salesperson ID],C64,tblSalesTransactions[Date],"&gt;="&amp;A64,tblSalesTransactions[Date],"&lt;"&amp;EDATE(A64,1))</f>
        <v>259500</v>
      </c>
      <c r="H64" s="85">
        <f t="shared" si="2"/>
        <v>-2440500</v>
      </c>
      <c r="I64" s="87">
        <f t="shared" si="3"/>
        <v>9.6111111111111105E-2</v>
      </c>
      <c r="J64" s="74" t="str">
        <f t="shared" si="4"/>
        <v>Below Target</v>
      </c>
      <c r="S64">
        <f>SUMIFS(tblSalesTargets[Target Amount],tblSalesTargets[MonthYear],A64,tblSalesTargets[Salesperson ID],C64)</f>
        <v>2700000</v>
      </c>
      <c r="T64">
        <f>SUMIFS(tblSalesTransactions[Sales Amount],tblSalesTransactions[Salesperson ID],C64,tblSalesTransactions[Date],"&gt;="&amp;A64,tblSalesTransactions[Date],"&lt;"&amp;EDATE(A64,1))</f>
        <v>259500</v>
      </c>
      <c r="U64" s="10">
        <f t="shared" si="10"/>
        <v>2700000</v>
      </c>
      <c r="V64" s="10">
        <f t="shared" si="11"/>
        <v>259500</v>
      </c>
      <c r="W64" t="b">
        <f t="shared" si="5"/>
        <v>1</v>
      </c>
      <c r="X64" t="b">
        <f t="shared" si="6"/>
        <v>1</v>
      </c>
    </row>
    <row r="65" spans="1:24">
      <c r="A65" s="88">
        <v>46174</v>
      </c>
      <c r="B65" s="74">
        <v>6</v>
      </c>
      <c r="C65" s="74" t="s">
        <v>24</v>
      </c>
      <c r="D65" s="74" t="s">
        <v>20</v>
      </c>
      <c r="E65" s="74" t="s">
        <v>4</v>
      </c>
      <c r="F65" s="85">
        <f>SUMIFS(tblSalesTargets[Target Amount],tblSalesTargets[MonthYear],A65,tblSalesTargets[Salesperson ID],C65)</f>
        <v>2484000</v>
      </c>
      <c r="G65" s="85">
        <f>SUMIFS(tblSalesTransactions[Sales Amount],tblSalesTransactions[Salesperson ID],C65,tblSalesTransactions[Date],"&gt;="&amp;A65,tblSalesTransactions[Date],"&lt;"&amp;EDATE(A65,1))</f>
        <v>310500</v>
      </c>
      <c r="H65" s="85">
        <f t="shared" si="2"/>
        <v>-2173500</v>
      </c>
      <c r="I65" s="87">
        <f t="shared" si="3"/>
        <v>0.125</v>
      </c>
      <c r="J65" s="74" t="str">
        <f t="shared" si="4"/>
        <v>Below Target</v>
      </c>
      <c r="S65">
        <f>SUMIFS(tblSalesTargets[Target Amount],tblSalesTargets[MonthYear],A65,tblSalesTargets[Salesperson ID],C65)</f>
        <v>2484000</v>
      </c>
      <c r="T65">
        <f>SUMIFS(tblSalesTransactions[Sales Amount],tblSalesTransactions[Salesperson ID],C65,tblSalesTransactions[Date],"&gt;="&amp;A65,tblSalesTransactions[Date],"&lt;"&amp;EDATE(A65,1))</f>
        <v>310500</v>
      </c>
      <c r="U65" s="10">
        <f t="shared" si="10"/>
        <v>2484000</v>
      </c>
      <c r="V65" s="10">
        <f t="shared" si="11"/>
        <v>310500</v>
      </c>
      <c r="W65" t="b">
        <f t="shared" si="5"/>
        <v>1</v>
      </c>
      <c r="X65" t="b">
        <f t="shared" si="6"/>
        <v>1</v>
      </c>
    </row>
    <row r="66" spans="1:24">
      <c r="A66" s="88">
        <v>46174</v>
      </c>
      <c r="B66" s="74">
        <v>6</v>
      </c>
      <c r="C66" s="74" t="s">
        <v>26</v>
      </c>
      <c r="D66" s="74" t="s">
        <v>20</v>
      </c>
      <c r="E66" s="74" t="s">
        <v>4</v>
      </c>
      <c r="F66" s="85">
        <f>SUMIFS(tblSalesTargets[Target Amount],tblSalesTargets[MonthYear],A66,tblSalesTargets[Salesperson ID],C66)</f>
        <v>2376000</v>
      </c>
      <c r="G66" s="85">
        <f>SUMIFS(tblSalesTransactions[Sales Amount],tblSalesTransactions[Salesperson ID],C66,tblSalesTransactions[Date],"&gt;="&amp;A66,tblSalesTransactions[Date],"&lt;"&amp;EDATE(A66,1))</f>
        <v>273000</v>
      </c>
      <c r="H66" s="85">
        <f t="shared" si="2"/>
        <v>-2103000</v>
      </c>
      <c r="I66" s="87">
        <f t="shared" si="3"/>
        <v>0.1148989898989899</v>
      </c>
      <c r="J66" s="74" t="str">
        <f t="shared" si="4"/>
        <v>Below Target</v>
      </c>
      <c r="S66">
        <f>SUMIFS(tblSalesTargets[Target Amount],tblSalesTargets[MonthYear],A66,tblSalesTargets[Salesperson ID],C66)</f>
        <v>2376000</v>
      </c>
      <c r="T66">
        <f>SUMIFS(tblSalesTransactions[Sales Amount],tblSalesTransactions[Salesperson ID],C66,tblSalesTransactions[Date],"&gt;="&amp;A66,tblSalesTransactions[Date],"&lt;"&amp;EDATE(A66,1))</f>
        <v>273000</v>
      </c>
      <c r="U66" s="10">
        <f t="shared" si="10"/>
        <v>2376000</v>
      </c>
      <c r="V66" s="10">
        <f t="shared" si="11"/>
        <v>273000</v>
      </c>
      <c r="W66" t="b">
        <f t="shared" si="5"/>
        <v>1</v>
      </c>
      <c r="X66" t="b">
        <f t="shared" si="6"/>
        <v>1</v>
      </c>
    </row>
    <row r="67" spans="1:24">
      <c r="A67" s="88">
        <v>46174</v>
      </c>
      <c r="B67" s="74">
        <v>6</v>
      </c>
      <c r="C67" s="74" t="s">
        <v>30</v>
      </c>
      <c r="D67" s="74" t="s">
        <v>28</v>
      </c>
      <c r="E67" s="74" t="s">
        <v>8</v>
      </c>
      <c r="F67" s="85">
        <f>SUMIFS(tblSalesTargets[Target Amount],tblSalesTargets[MonthYear],A67,tblSalesTargets[Salesperson ID],C67)</f>
        <v>2916000</v>
      </c>
      <c r="G67" s="85">
        <f>SUMIFS(tblSalesTransactions[Sales Amount],tblSalesTransactions[Salesperson ID],C67,tblSalesTransactions[Date],"&gt;="&amp;A67,tblSalesTransactions[Date],"&lt;"&amp;EDATE(A67,1))</f>
        <v>511000</v>
      </c>
      <c r="H67" s="85">
        <f t="shared" si="2"/>
        <v>-2405000</v>
      </c>
      <c r="I67" s="87">
        <f t="shared" si="3"/>
        <v>0.1752400548696845</v>
      </c>
      <c r="J67" s="74" t="str">
        <f t="shared" si="4"/>
        <v>Below Target</v>
      </c>
      <c r="S67">
        <f>SUMIFS(tblSalesTargets[Target Amount],tblSalesTargets[MonthYear],A67,tblSalesTargets[Salesperson ID],C67)</f>
        <v>2916000</v>
      </c>
      <c r="T67">
        <f>SUMIFS(tblSalesTransactions[Sales Amount],tblSalesTransactions[Salesperson ID],C67,tblSalesTransactions[Date],"&gt;="&amp;A67,tblSalesTransactions[Date],"&lt;"&amp;EDATE(A67,1))</f>
        <v>511000</v>
      </c>
      <c r="U67" s="10">
        <f t="shared" si="10"/>
        <v>2916000</v>
      </c>
      <c r="V67" s="10">
        <f t="shared" si="11"/>
        <v>511000</v>
      </c>
      <c r="W67" t="b">
        <f t="shared" si="5"/>
        <v>1</v>
      </c>
      <c r="X67" t="b">
        <f t="shared" si="6"/>
        <v>1</v>
      </c>
    </row>
    <row r="68" spans="1:24">
      <c r="A68" s="88">
        <v>46174</v>
      </c>
      <c r="B68" s="74">
        <v>6</v>
      </c>
      <c r="C68" s="74" t="s">
        <v>32</v>
      </c>
      <c r="D68" s="74" t="s">
        <v>28</v>
      </c>
      <c r="E68" s="74" t="s">
        <v>8</v>
      </c>
      <c r="F68" s="85">
        <f>SUMIFS(tblSalesTargets[Target Amount],tblSalesTargets[MonthYear],A68,tblSalesTargets[Salesperson ID],C68)</f>
        <v>2700000</v>
      </c>
      <c r="G68" s="85">
        <f>SUMIFS(tblSalesTransactions[Sales Amount],tblSalesTransactions[Salesperson ID],C68,tblSalesTransactions[Date],"&gt;="&amp;A68,tblSalesTransactions[Date],"&lt;"&amp;EDATE(A68,1))</f>
        <v>561000</v>
      </c>
      <c r="H68" s="85">
        <f t="shared" si="2"/>
        <v>-2139000</v>
      </c>
      <c r="I68" s="87">
        <f t="shared" si="3"/>
        <v>0.20777777777777778</v>
      </c>
      <c r="J68" s="74" t="str">
        <f t="shared" si="4"/>
        <v>Below Target</v>
      </c>
      <c r="S68">
        <f>SUMIFS(tblSalesTargets[Target Amount],tblSalesTargets[MonthYear],A68,tblSalesTargets[Salesperson ID],C68)</f>
        <v>2700000</v>
      </c>
      <c r="T68">
        <f>SUMIFS(tblSalesTransactions[Sales Amount],tblSalesTransactions[Salesperson ID],C68,tblSalesTransactions[Date],"&gt;="&amp;A68,tblSalesTransactions[Date],"&lt;"&amp;EDATE(A68,1))</f>
        <v>561000</v>
      </c>
      <c r="U68" s="10">
        <f t="shared" ref="U68:U99" si="12">F68</f>
        <v>2700000</v>
      </c>
      <c r="V68" s="10">
        <f t="shared" ref="V68:V99" si="13">G68</f>
        <v>561000</v>
      </c>
      <c r="W68" t="b">
        <f t="shared" si="5"/>
        <v>1</v>
      </c>
      <c r="X68" t="b">
        <f t="shared" si="6"/>
        <v>1</v>
      </c>
    </row>
    <row r="69" spans="1:24">
      <c r="A69" s="88">
        <v>46174</v>
      </c>
      <c r="B69" s="74">
        <v>6</v>
      </c>
      <c r="C69" s="74" t="s">
        <v>34</v>
      </c>
      <c r="D69" s="74" t="s">
        <v>28</v>
      </c>
      <c r="E69" s="74" t="s">
        <v>8</v>
      </c>
      <c r="F69" s="85">
        <f>SUMIFS(tblSalesTargets[Target Amount],tblSalesTargets[MonthYear],A69,tblSalesTargets[Salesperson ID],C69)</f>
        <v>2484000</v>
      </c>
      <c r="G69" s="85">
        <f>SUMIFS(tblSalesTransactions[Sales Amount],tblSalesTransactions[Salesperson ID],C69,tblSalesTransactions[Date],"&gt;="&amp;A69,tblSalesTransactions[Date],"&lt;"&amp;EDATE(A69,1))</f>
        <v>336750</v>
      </c>
      <c r="H69" s="85">
        <f t="shared" ref="H69:H132" si="14">G69-F69</f>
        <v>-2147250</v>
      </c>
      <c r="I69" s="87">
        <f t="shared" ref="I69:I132" si="15">IFERROR(G69/F69,0)</f>
        <v>0.13556763285024154</v>
      </c>
      <c r="J69" s="74" t="str">
        <f t="shared" ref="J69:J132" si="16">IF(I69&gt;=1,"Achieved",IF(I69&gt;=0.9,"Near Target","Below Target"))</f>
        <v>Below Target</v>
      </c>
      <c r="S69">
        <f>SUMIFS(tblSalesTargets[Target Amount],tblSalesTargets[MonthYear],A69,tblSalesTargets[Salesperson ID],C69)</f>
        <v>2484000</v>
      </c>
      <c r="T69">
        <f>SUMIFS(tblSalesTransactions[Sales Amount],tblSalesTransactions[Salesperson ID],C69,tblSalesTransactions[Date],"&gt;="&amp;A69,tblSalesTransactions[Date],"&lt;"&amp;EDATE(A69,1))</f>
        <v>336750</v>
      </c>
      <c r="U69" s="10">
        <f t="shared" si="12"/>
        <v>2484000</v>
      </c>
      <c r="V69" s="10">
        <f t="shared" si="13"/>
        <v>336750</v>
      </c>
      <c r="W69" t="b">
        <f t="shared" ref="W69:W132" si="17">S69=U69</f>
        <v>1</v>
      </c>
      <c r="X69" t="b">
        <f t="shared" ref="X69:X132" si="18">T69=V69</f>
        <v>1</v>
      </c>
    </row>
    <row r="70" spans="1:24">
      <c r="A70" s="88">
        <v>46174</v>
      </c>
      <c r="B70" s="74">
        <v>6</v>
      </c>
      <c r="C70" s="74" t="s">
        <v>38</v>
      </c>
      <c r="D70" s="74" t="s">
        <v>36</v>
      </c>
      <c r="E70" s="74" t="s">
        <v>11</v>
      </c>
      <c r="F70" s="85">
        <f>SUMIFS(tblSalesTargets[Target Amount],tblSalesTargets[MonthYear],A70,tblSalesTargets[Salesperson ID],C70)</f>
        <v>2592000</v>
      </c>
      <c r="G70" s="85">
        <f>SUMIFS(tblSalesTransactions[Sales Amount],tblSalesTransactions[Salesperson ID],C70,tblSalesTransactions[Date],"&gt;="&amp;A70,tblSalesTransactions[Date],"&lt;"&amp;EDATE(A70,1))</f>
        <v>589500</v>
      </c>
      <c r="H70" s="85">
        <f t="shared" si="14"/>
        <v>-2002500</v>
      </c>
      <c r="I70" s="87">
        <f t="shared" si="15"/>
        <v>0.22743055555555555</v>
      </c>
      <c r="J70" s="74" t="str">
        <f t="shared" si="16"/>
        <v>Below Target</v>
      </c>
      <c r="S70">
        <f>SUMIFS(tblSalesTargets[Target Amount],tblSalesTargets[MonthYear],A70,tblSalesTargets[Salesperson ID],C70)</f>
        <v>2592000</v>
      </c>
      <c r="T70">
        <f>SUMIFS(tblSalesTransactions[Sales Amount],tblSalesTransactions[Salesperson ID],C70,tblSalesTransactions[Date],"&gt;="&amp;A70,tblSalesTransactions[Date],"&lt;"&amp;EDATE(A70,1))</f>
        <v>589500</v>
      </c>
      <c r="U70" s="10">
        <f t="shared" si="12"/>
        <v>2592000</v>
      </c>
      <c r="V70" s="10">
        <f t="shared" si="13"/>
        <v>589500</v>
      </c>
      <c r="W70" t="b">
        <f t="shared" si="17"/>
        <v>1</v>
      </c>
      <c r="X70" t="b">
        <f t="shared" si="18"/>
        <v>1</v>
      </c>
    </row>
    <row r="71" spans="1:24">
      <c r="A71" s="88">
        <v>46174</v>
      </c>
      <c r="B71" s="74">
        <v>6</v>
      </c>
      <c r="C71" s="74" t="s">
        <v>40</v>
      </c>
      <c r="D71" s="74" t="s">
        <v>36</v>
      </c>
      <c r="E71" s="74" t="s">
        <v>11</v>
      </c>
      <c r="F71" s="85">
        <f>SUMIFS(tblSalesTargets[Target Amount],tblSalesTargets[MonthYear],A71,tblSalesTargets[Salesperson ID],C71)</f>
        <v>2376000</v>
      </c>
      <c r="G71" s="85">
        <f>SUMIFS(tblSalesTransactions[Sales Amount],tblSalesTransactions[Salesperson ID],C71,tblSalesTransactions[Date],"&gt;="&amp;A71,tblSalesTransactions[Date],"&lt;"&amp;EDATE(A71,1))</f>
        <v>593500</v>
      </c>
      <c r="H71" s="85">
        <f t="shared" si="14"/>
        <v>-1782500</v>
      </c>
      <c r="I71" s="87">
        <f t="shared" si="15"/>
        <v>0.24978956228956228</v>
      </c>
      <c r="J71" s="74" t="str">
        <f t="shared" si="16"/>
        <v>Below Target</v>
      </c>
      <c r="S71">
        <f>SUMIFS(tblSalesTargets[Target Amount],tblSalesTargets[MonthYear],A71,tblSalesTargets[Salesperson ID],C71)</f>
        <v>2376000</v>
      </c>
      <c r="T71">
        <f>SUMIFS(tblSalesTransactions[Sales Amount],tblSalesTransactions[Salesperson ID],C71,tblSalesTransactions[Date],"&gt;="&amp;A71,tblSalesTransactions[Date],"&lt;"&amp;EDATE(A71,1))</f>
        <v>593500</v>
      </c>
      <c r="U71" s="10">
        <f t="shared" si="12"/>
        <v>2376000</v>
      </c>
      <c r="V71" s="10">
        <f t="shared" si="13"/>
        <v>593500</v>
      </c>
      <c r="W71" t="b">
        <f t="shared" si="17"/>
        <v>1</v>
      </c>
      <c r="X71" t="b">
        <f t="shared" si="18"/>
        <v>1</v>
      </c>
    </row>
    <row r="72" spans="1:24">
      <c r="A72" s="88">
        <v>46174</v>
      </c>
      <c r="B72" s="74">
        <v>6</v>
      </c>
      <c r="C72" s="74" t="s">
        <v>42</v>
      </c>
      <c r="D72" s="74" t="s">
        <v>36</v>
      </c>
      <c r="E72" s="74" t="s">
        <v>11</v>
      </c>
      <c r="F72" s="85">
        <f>SUMIFS(tblSalesTargets[Target Amount],tblSalesTargets[MonthYear],A72,tblSalesTargets[Salesperson ID],C72)</f>
        <v>2268000</v>
      </c>
      <c r="G72" s="85">
        <f>SUMIFS(tblSalesTransactions[Sales Amount],tblSalesTransactions[Salesperson ID],C72,tblSalesTransactions[Date],"&gt;="&amp;A72,tblSalesTransactions[Date],"&lt;"&amp;EDATE(A72,1))</f>
        <v>340250</v>
      </c>
      <c r="H72" s="85">
        <f t="shared" si="14"/>
        <v>-1927750</v>
      </c>
      <c r="I72" s="87">
        <f t="shared" si="15"/>
        <v>0.15002204585537918</v>
      </c>
      <c r="J72" s="74" t="str">
        <f t="shared" si="16"/>
        <v>Below Target</v>
      </c>
      <c r="S72">
        <f>SUMIFS(tblSalesTargets[Target Amount],tblSalesTargets[MonthYear],A72,tblSalesTargets[Salesperson ID],C72)</f>
        <v>2268000</v>
      </c>
      <c r="T72">
        <f>SUMIFS(tblSalesTransactions[Sales Amount],tblSalesTransactions[Salesperson ID],C72,tblSalesTransactions[Date],"&gt;="&amp;A72,tblSalesTransactions[Date],"&lt;"&amp;EDATE(A72,1))</f>
        <v>340250</v>
      </c>
      <c r="U72" s="10">
        <f t="shared" si="12"/>
        <v>2268000</v>
      </c>
      <c r="V72" s="10">
        <f t="shared" si="13"/>
        <v>340250</v>
      </c>
      <c r="W72" t="b">
        <f t="shared" si="17"/>
        <v>1</v>
      </c>
      <c r="X72" t="b">
        <f t="shared" si="18"/>
        <v>1</v>
      </c>
    </row>
    <row r="73" spans="1:24">
      <c r="A73" s="88">
        <v>46174</v>
      </c>
      <c r="B73" s="74">
        <v>6</v>
      </c>
      <c r="C73" s="74" t="s">
        <v>46</v>
      </c>
      <c r="D73" s="74" t="s">
        <v>44</v>
      </c>
      <c r="E73" s="74" t="s">
        <v>14</v>
      </c>
      <c r="F73" s="85">
        <f>SUMIFS(tblSalesTargets[Target Amount],tblSalesTargets[MonthYear],A73,tblSalesTargets[Salesperson ID],C73)</f>
        <v>2376000</v>
      </c>
      <c r="G73" s="85">
        <f>SUMIFS(tblSalesTransactions[Sales Amount],tblSalesTransactions[Salesperson ID],C73,tblSalesTransactions[Date],"&gt;="&amp;A73,tblSalesTransactions[Date],"&lt;"&amp;EDATE(A73,1))</f>
        <v>317750</v>
      </c>
      <c r="H73" s="85">
        <f t="shared" si="14"/>
        <v>-2058250</v>
      </c>
      <c r="I73" s="87">
        <f t="shared" si="15"/>
        <v>0.13373316498316498</v>
      </c>
      <c r="J73" s="74" t="str">
        <f t="shared" si="16"/>
        <v>Below Target</v>
      </c>
      <c r="S73">
        <f>SUMIFS(tblSalesTargets[Target Amount],tblSalesTargets[MonthYear],A73,tblSalesTargets[Salesperson ID],C73)</f>
        <v>2376000</v>
      </c>
      <c r="T73">
        <f>SUMIFS(tblSalesTransactions[Sales Amount],tblSalesTransactions[Salesperson ID],C73,tblSalesTransactions[Date],"&gt;="&amp;A73,tblSalesTransactions[Date],"&lt;"&amp;EDATE(A73,1))</f>
        <v>317750</v>
      </c>
      <c r="U73" s="10">
        <f t="shared" si="12"/>
        <v>2376000</v>
      </c>
      <c r="V73" s="10">
        <f t="shared" si="13"/>
        <v>317750</v>
      </c>
      <c r="W73" t="b">
        <f t="shared" si="17"/>
        <v>1</v>
      </c>
      <c r="X73" t="b">
        <f t="shared" si="18"/>
        <v>1</v>
      </c>
    </row>
    <row r="74" spans="1:24">
      <c r="A74" s="88">
        <v>46174</v>
      </c>
      <c r="B74" s="74">
        <v>6</v>
      </c>
      <c r="C74" s="74" t="s">
        <v>48</v>
      </c>
      <c r="D74" s="74" t="s">
        <v>44</v>
      </c>
      <c r="E74" s="74" t="s">
        <v>14</v>
      </c>
      <c r="F74" s="85">
        <f>SUMIFS(tblSalesTargets[Target Amount],tblSalesTargets[MonthYear],A74,tblSalesTargets[Salesperson ID],C74)</f>
        <v>2160000</v>
      </c>
      <c r="G74" s="85">
        <f>SUMIFS(tblSalesTransactions[Sales Amount],tblSalesTransactions[Salesperson ID],C74,tblSalesTransactions[Date],"&gt;="&amp;A74,tblSalesTransactions[Date],"&lt;"&amp;EDATE(A74,1))</f>
        <v>331250</v>
      </c>
      <c r="H74" s="85">
        <f t="shared" si="14"/>
        <v>-1828750</v>
      </c>
      <c r="I74" s="87">
        <f t="shared" si="15"/>
        <v>0.15335648148148148</v>
      </c>
      <c r="J74" s="74" t="str">
        <f t="shared" si="16"/>
        <v>Below Target</v>
      </c>
      <c r="S74">
        <f>SUMIFS(tblSalesTargets[Target Amount],tblSalesTargets[MonthYear],A74,tblSalesTargets[Salesperson ID],C74)</f>
        <v>2160000</v>
      </c>
      <c r="T74">
        <f>SUMIFS(tblSalesTransactions[Sales Amount],tblSalesTransactions[Salesperson ID],C74,tblSalesTransactions[Date],"&gt;="&amp;A74,tblSalesTransactions[Date],"&lt;"&amp;EDATE(A74,1))</f>
        <v>331250</v>
      </c>
      <c r="U74" s="10">
        <f t="shared" si="12"/>
        <v>2160000</v>
      </c>
      <c r="V74" s="10">
        <f t="shared" si="13"/>
        <v>331250</v>
      </c>
      <c r="W74" t="b">
        <f t="shared" si="17"/>
        <v>1</v>
      </c>
      <c r="X74" t="b">
        <f t="shared" si="18"/>
        <v>1</v>
      </c>
    </row>
    <row r="75" spans="1:24">
      <c r="A75" s="88">
        <v>46174</v>
      </c>
      <c r="B75" s="74">
        <v>6</v>
      </c>
      <c r="C75" s="74" t="s">
        <v>50</v>
      </c>
      <c r="D75" s="74" t="s">
        <v>44</v>
      </c>
      <c r="E75" s="74" t="s">
        <v>14</v>
      </c>
      <c r="F75" s="85">
        <f>SUMIFS(tblSalesTargets[Target Amount],tblSalesTargets[MonthYear],A75,tblSalesTargets[Salesperson ID],C75)</f>
        <v>2052000</v>
      </c>
      <c r="G75" s="85">
        <f>SUMIFS(tblSalesTransactions[Sales Amount],tblSalesTransactions[Salesperson ID],C75,tblSalesTransactions[Date],"&gt;="&amp;A75,tblSalesTransactions[Date],"&lt;"&amp;EDATE(A75,1))</f>
        <v>305000</v>
      </c>
      <c r="H75" s="85">
        <f t="shared" si="14"/>
        <v>-1747000</v>
      </c>
      <c r="I75" s="87">
        <f t="shared" si="15"/>
        <v>0.14863547758284601</v>
      </c>
      <c r="J75" s="74" t="str">
        <f t="shared" si="16"/>
        <v>Below Target</v>
      </c>
      <c r="S75">
        <f>SUMIFS(tblSalesTargets[Target Amount],tblSalesTargets[MonthYear],A75,tblSalesTargets[Salesperson ID],C75)</f>
        <v>2052000</v>
      </c>
      <c r="T75">
        <f>SUMIFS(tblSalesTransactions[Sales Amount],tblSalesTransactions[Salesperson ID],C75,tblSalesTransactions[Date],"&gt;="&amp;A75,tblSalesTransactions[Date],"&lt;"&amp;EDATE(A75,1))</f>
        <v>305000</v>
      </c>
      <c r="U75" s="10">
        <f t="shared" si="12"/>
        <v>2052000</v>
      </c>
      <c r="V75" s="10">
        <f t="shared" si="13"/>
        <v>305000</v>
      </c>
      <c r="W75" t="b">
        <f t="shared" si="17"/>
        <v>1</v>
      </c>
      <c r="X75" t="b">
        <f t="shared" si="18"/>
        <v>1</v>
      </c>
    </row>
    <row r="76" spans="1:24">
      <c r="A76" s="88">
        <v>46204</v>
      </c>
      <c r="B76" s="74">
        <v>7</v>
      </c>
      <c r="C76" s="74" t="s">
        <v>22</v>
      </c>
      <c r="D76" s="74" t="s">
        <v>20</v>
      </c>
      <c r="E76" s="74" t="s">
        <v>4</v>
      </c>
      <c r="F76" s="85">
        <f>SUMIFS(tblSalesTargets[Target Amount],tblSalesTargets[MonthYear],A76,tblSalesTargets[Salesperson ID],C76)</f>
        <v>2600000</v>
      </c>
      <c r="G76" s="85">
        <f>SUMIFS(tblSalesTransactions[Sales Amount],tblSalesTransactions[Salesperson ID],C76,tblSalesTransactions[Date],"&gt;="&amp;A76,tblSalesTransactions[Date],"&lt;"&amp;EDATE(A76,1))</f>
        <v>234000</v>
      </c>
      <c r="H76" s="85">
        <f t="shared" si="14"/>
        <v>-2366000</v>
      </c>
      <c r="I76" s="87">
        <f t="shared" si="15"/>
        <v>0.09</v>
      </c>
      <c r="J76" s="74" t="str">
        <f t="shared" si="16"/>
        <v>Below Target</v>
      </c>
      <c r="S76">
        <f>SUMIFS(tblSalesTargets[Target Amount],tblSalesTargets[MonthYear],A76,tblSalesTargets[Salesperson ID],C76)</f>
        <v>2600000</v>
      </c>
      <c r="T76">
        <f>SUMIFS(tblSalesTransactions[Sales Amount],tblSalesTransactions[Salesperson ID],C76,tblSalesTransactions[Date],"&gt;="&amp;A76,tblSalesTransactions[Date],"&lt;"&amp;EDATE(A76,1))</f>
        <v>234000</v>
      </c>
      <c r="U76" s="10">
        <f t="shared" si="12"/>
        <v>2600000</v>
      </c>
      <c r="V76" s="10">
        <f t="shared" si="13"/>
        <v>234000</v>
      </c>
      <c r="W76" t="b">
        <f t="shared" si="17"/>
        <v>1</v>
      </c>
      <c r="X76" t="b">
        <f t="shared" si="18"/>
        <v>1</v>
      </c>
    </row>
    <row r="77" spans="1:24">
      <c r="A77" s="88">
        <v>46204</v>
      </c>
      <c r="B77" s="74">
        <v>7</v>
      </c>
      <c r="C77" s="74" t="s">
        <v>24</v>
      </c>
      <c r="D77" s="74" t="s">
        <v>20</v>
      </c>
      <c r="E77" s="74" t="s">
        <v>4</v>
      </c>
      <c r="F77" s="85">
        <f>SUMIFS(tblSalesTargets[Target Amount],tblSalesTargets[MonthYear],A77,tblSalesTargets[Salesperson ID],C77)</f>
        <v>2392000</v>
      </c>
      <c r="G77" s="85">
        <f>SUMIFS(tblSalesTransactions[Sales Amount],tblSalesTransactions[Salesperson ID],C77,tblSalesTransactions[Date],"&gt;="&amp;A77,tblSalesTransactions[Date],"&lt;"&amp;EDATE(A77,1))</f>
        <v>339000</v>
      </c>
      <c r="H77" s="85">
        <f t="shared" si="14"/>
        <v>-2053000</v>
      </c>
      <c r="I77" s="87">
        <f t="shared" si="15"/>
        <v>0.14172240802675584</v>
      </c>
      <c r="J77" s="74" t="str">
        <f t="shared" si="16"/>
        <v>Below Target</v>
      </c>
      <c r="S77">
        <f>SUMIFS(tblSalesTargets[Target Amount],tblSalesTargets[MonthYear],A77,tblSalesTargets[Salesperson ID],C77)</f>
        <v>2392000</v>
      </c>
      <c r="T77">
        <f>SUMIFS(tblSalesTransactions[Sales Amount],tblSalesTransactions[Salesperson ID],C77,tblSalesTransactions[Date],"&gt;="&amp;A77,tblSalesTransactions[Date],"&lt;"&amp;EDATE(A77,1))</f>
        <v>339000</v>
      </c>
      <c r="U77" s="10">
        <f t="shared" si="12"/>
        <v>2392000</v>
      </c>
      <c r="V77" s="10">
        <f t="shared" si="13"/>
        <v>339000</v>
      </c>
      <c r="W77" t="b">
        <f t="shared" si="17"/>
        <v>1</v>
      </c>
      <c r="X77" t="b">
        <f t="shared" si="18"/>
        <v>1</v>
      </c>
    </row>
    <row r="78" spans="1:24">
      <c r="A78" s="88">
        <v>46204</v>
      </c>
      <c r="B78" s="74">
        <v>7</v>
      </c>
      <c r="C78" s="74" t="s">
        <v>26</v>
      </c>
      <c r="D78" s="74" t="s">
        <v>20</v>
      </c>
      <c r="E78" s="74" t="s">
        <v>4</v>
      </c>
      <c r="F78" s="85">
        <f>SUMIFS(tblSalesTargets[Target Amount],tblSalesTargets[MonthYear],A78,tblSalesTargets[Salesperson ID],C78)</f>
        <v>2288000</v>
      </c>
      <c r="G78" s="85">
        <f>SUMIFS(tblSalesTransactions[Sales Amount],tblSalesTransactions[Salesperson ID],C78,tblSalesTransactions[Date],"&gt;="&amp;A78,tblSalesTransactions[Date],"&lt;"&amp;EDATE(A78,1))</f>
        <v>311000</v>
      </c>
      <c r="H78" s="85">
        <f t="shared" si="14"/>
        <v>-1977000</v>
      </c>
      <c r="I78" s="87">
        <f t="shared" si="15"/>
        <v>0.13592657342657344</v>
      </c>
      <c r="J78" s="74" t="str">
        <f t="shared" si="16"/>
        <v>Below Target</v>
      </c>
      <c r="S78">
        <f>SUMIFS(tblSalesTargets[Target Amount],tblSalesTargets[MonthYear],A78,tblSalesTargets[Salesperson ID],C78)</f>
        <v>2288000</v>
      </c>
      <c r="T78">
        <f>SUMIFS(tblSalesTransactions[Sales Amount],tblSalesTransactions[Salesperson ID],C78,tblSalesTransactions[Date],"&gt;="&amp;A78,tblSalesTransactions[Date],"&lt;"&amp;EDATE(A78,1))</f>
        <v>311000</v>
      </c>
      <c r="U78" s="10">
        <f t="shared" si="12"/>
        <v>2288000</v>
      </c>
      <c r="V78" s="10">
        <f t="shared" si="13"/>
        <v>311000</v>
      </c>
      <c r="W78" t="b">
        <f t="shared" si="17"/>
        <v>1</v>
      </c>
      <c r="X78" t="b">
        <f t="shared" si="18"/>
        <v>1</v>
      </c>
    </row>
    <row r="79" spans="1:24">
      <c r="A79" s="88">
        <v>46204</v>
      </c>
      <c r="B79" s="74">
        <v>7</v>
      </c>
      <c r="C79" s="74" t="s">
        <v>30</v>
      </c>
      <c r="D79" s="74" t="s">
        <v>28</v>
      </c>
      <c r="E79" s="74" t="s">
        <v>8</v>
      </c>
      <c r="F79" s="85">
        <f>SUMIFS(tblSalesTargets[Target Amount],tblSalesTargets[MonthYear],A79,tblSalesTargets[Salesperson ID],C79)</f>
        <v>2808000</v>
      </c>
      <c r="G79" s="85">
        <f>SUMIFS(tblSalesTransactions[Sales Amount],tblSalesTransactions[Salesperson ID],C79,tblSalesTransactions[Date],"&gt;="&amp;A79,tblSalesTransactions[Date],"&lt;"&amp;EDATE(A79,1))</f>
        <v>428000</v>
      </c>
      <c r="H79" s="85">
        <f t="shared" si="14"/>
        <v>-2380000</v>
      </c>
      <c r="I79" s="87">
        <f t="shared" si="15"/>
        <v>0.15242165242165243</v>
      </c>
      <c r="J79" s="74" t="str">
        <f t="shared" si="16"/>
        <v>Below Target</v>
      </c>
      <c r="S79">
        <f>SUMIFS(tblSalesTargets[Target Amount],tblSalesTargets[MonthYear],A79,tblSalesTargets[Salesperson ID],C79)</f>
        <v>2808000</v>
      </c>
      <c r="T79">
        <f>SUMIFS(tblSalesTransactions[Sales Amount],tblSalesTransactions[Salesperson ID],C79,tblSalesTransactions[Date],"&gt;="&amp;A79,tblSalesTransactions[Date],"&lt;"&amp;EDATE(A79,1))</f>
        <v>428000</v>
      </c>
      <c r="U79" s="10">
        <f t="shared" si="12"/>
        <v>2808000</v>
      </c>
      <c r="V79" s="10">
        <f t="shared" si="13"/>
        <v>428000</v>
      </c>
      <c r="W79" t="b">
        <f t="shared" si="17"/>
        <v>1</v>
      </c>
      <c r="X79" t="b">
        <f t="shared" si="18"/>
        <v>1</v>
      </c>
    </row>
    <row r="80" spans="1:24">
      <c r="A80" s="88">
        <v>46204</v>
      </c>
      <c r="B80" s="74">
        <v>7</v>
      </c>
      <c r="C80" s="74" t="s">
        <v>32</v>
      </c>
      <c r="D80" s="74" t="s">
        <v>28</v>
      </c>
      <c r="E80" s="74" t="s">
        <v>8</v>
      </c>
      <c r="F80" s="85">
        <f>SUMIFS(tblSalesTargets[Target Amount],tblSalesTargets[MonthYear],A80,tblSalesTargets[Salesperson ID],C80)</f>
        <v>2600000</v>
      </c>
      <c r="G80" s="85">
        <f>SUMIFS(tblSalesTransactions[Sales Amount],tblSalesTransactions[Salesperson ID],C80,tblSalesTransactions[Date],"&gt;="&amp;A80,tblSalesTransactions[Date],"&lt;"&amp;EDATE(A80,1))</f>
        <v>427500</v>
      </c>
      <c r="H80" s="85">
        <f t="shared" si="14"/>
        <v>-2172500</v>
      </c>
      <c r="I80" s="87">
        <f t="shared" si="15"/>
        <v>0.16442307692307692</v>
      </c>
      <c r="J80" s="74" t="str">
        <f t="shared" si="16"/>
        <v>Below Target</v>
      </c>
      <c r="S80">
        <f>SUMIFS(tblSalesTargets[Target Amount],tblSalesTargets[MonthYear],A80,tblSalesTargets[Salesperson ID],C80)</f>
        <v>2600000</v>
      </c>
      <c r="T80">
        <f>SUMIFS(tblSalesTransactions[Sales Amount],tblSalesTransactions[Salesperson ID],C80,tblSalesTransactions[Date],"&gt;="&amp;A80,tblSalesTransactions[Date],"&lt;"&amp;EDATE(A80,1))</f>
        <v>427500</v>
      </c>
      <c r="U80" s="10">
        <f t="shared" si="12"/>
        <v>2600000</v>
      </c>
      <c r="V80" s="10">
        <f t="shared" si="13"/>
        <v>427500</v>
      </c>
      <c r="W80" t="b">
        <f t="shared" si="17"/>
        <v>1</v>
      </c>
      <c r="X80" t="b">
        <f t="shared" si="18"/>
        <v>1</v>
      </c>
    </row>
    <row r="81" spans="1:24">
      <c r="A81" s="88">
        <v>46204</v>
      </c>
      <c r="B81" s="74">
        <v>7</v>
      </c>
      <c r="C81" s="74" t="s">
        <v>34</v>
      </c>
      <c r="D81" s="74" t="s">
        <v>28</v>
      </c>
      <c r="E81" s="74" t="s">
        <v>8</v>
      </c>
      <c r="F81" s="85">
        <f>SUMIFS(tblSalesTargets[Target Amount],tblSalesTargets[MonthYear],A81,tblSalesTargets[Salesperson ID],C81)</f>
        <v>2392000</v>
      </c>
      <c r="G81" s="85">
        <f>SUMIFS(tblSalesTransactions[Sales Amount],tblSalesTransactions[Salesperson ID],C81,tblSalesTransactions[Date],"&gt;="&amp;A81,tblSalesTransactions[Date],"&lt;"&amp;EDATE(A81,1))</f>
        <v>434500</v>
      </c>
      <c r="H81" s="85">
        <f t="shared" si="14"/>
        <v>-1957500</v>
      </c>
      <c r="I81" s="87">
        <f t="shared" si="15"/>
        <v>0.18164715719063546</v>
      </c>
      <c r="J81" s="74" t="str">
        <f t="shared" si="16"/>
        <v>Below Target</v>
      </c>
      <c r="S81">
        <f>SUMIFS(tblSalesTargets[Target Amount],tblSalesTargets[MonthYear],A81,tblSalesTargets[Salesperson ID],C81)</f>
        <v>2392000</v>
      </c>
      <c r="T81">
        <f>SUMIFS(tblSalesTransactions[Sales Amount],tblSalesTransactions[Salesperson ID],C81,tblSalesTransactions[Date],"&gt;="&amp;A81,tblSalesTransactions[Date],"&lt;"&amp;EDATE(A81,1))</f>
        <v>434500</v>
      </c>
      <c r="U81" s="10">
        <f t="shared" si="12"/>
        <v>2392000</v>
      </c>
      <c r="V81" s="10">
        <f t="shared" si="13"/>
        <v>434500</v>
      </c>
      <c r="W81" t="b">
        <f t="shared" si="17"/>
        <v>1</v>
      </c>
      <c r="X81" t="b">
        <f t="shared" si="18"/>
        <v>1</v>
      </c>
    </row>
    <row r="82" spans="1:24">
      <c r="A82" s="88">
        <v>46204</v>
      </c>
      <c r="B82" s="74">
        <v>7</v>
      </c>
      <c r="C82" s="74" t="s">
        <v>38</v>
      </c>
      <c r="D82" s="74" t="s">
        <v>36</v>
      </c>
      <c r="E82" s="74" t="s">
        <v>11</v>
      </c>
      <c r="F82" s="85">
        <f>SUMIFS(tblSalesTargets[Target Amount],tblSalesTargets[MonthYear],A82,tblSalesTargets[Salesperson ID],C82)</f>
        <v>2496000</v>
      </c>
      <c r="G82" s="85">
        <f>SUMIFS(tblSalesTransactions[Sales Amount],tblSalesTransactions[Salesperson ID],C82,tblSalesTransactions[Date],"&gt;="&amp;A82,tblSalesTransactions[Date],"&lt;"&amp;EDATE(A82,1))</f>
        <v>499500</v>
      </c>
      <c r="H82" s="85">
        <f t="shared" si="14"/>
        <v>-1996500</v>
      </c>
      <c r="I82" s="87">
        <f t="shared" si="15"/>
        <v>0.20012019230769232</v>
      </c>
      <c r="J82" s="74" t="str">
        <f t="shared" si="16"/>
        <v>Below Target</v>
      </c>
      <c r="S82">
        <f>SUMIFS(tblSalesTargets[Target Amount],tblSalesTargets[MonthYear],A82,tblSalesTargets[Salesperson ID],C82)</f>
        <v>2496000</v>
      </c>
      <c r="T82">
        <f>SUMIFS(tblSalesTransactions[Sales Amount],tblSalesTransactions[Salesperson ID],C82,tblSalesTransactions[Date],"&gt;="&amp;A82,tblSalesTransactions[Date],"&lt;"&amp;EDATE(A82,1))</f>
        <v>499500</v>
      </c>
      <c r="U82" s="10">
        <f t="shared" si="12"/>
        <v>2496000</v>
      </c>
      <c r="V82" s="10">
        <f t="shared" si="13"/>
        <v>499500</v>
      </c>
      <c r="W82" t="b">
        <f t="shared" si="17"/>
        <v>1</v>
      </c>
      <c r="X82" t="b">
        <f t="shared" si="18"/>
        <v>1</v>
      </c>
    </row>
    <row r="83" spans="1:24">
      <c r="A83" s="88">
        <v>46204</v>
      </c>
      <c r="B83" s="74">
        <v>7</v>
      </c>
      <c r="C83" s="74" t="s">
        <v>40</v>
      </c>
      <c r="D83" s="74" t="s">
        <v>36</v>
      </c>
      <c r="E83" s="74" t="s">
        <v>11</v>
      </c>
      <c r="F83" s="85">
        <f>SUMIFS(tblSalesTargets[Target Amount],tblSalesTargets[MonthYear],A83,tblSalesTargets[Salesperson ID],C83)</f>
        <v>2288000</v>
      </c>
      <c r="G83" s="85">
        <f>SUMIFS(tblSalesTransactions[Sales Amount],tblSalesTransactions[Salesperson ID],C83,tblSalesTransactions[Date],"&gt;="&amp;A83,tblSalesTransactions[Date],"&lt;"&amp;EDATE(A83,1))</f>
        <v>538500</v>
      </c>
      <c r="H83" s="85">
        <f t="shared" si="14"/>
        <v>-1749500</v>
      </c>
      <c r="I83" s="87">
        <f t="shared" si="15"/>
        <v>0.23535839160839161</v>
      </c>
      <c r="J83" s="74" t="str">
        <f t="shared" si="16"/>
        <v>Below Target</v>
      </c>
      <c r="S83">
        <f>SUMIFS(tblSalesTargets[Target Amount],tblSalesTargets[MonthYear],A83,tblSalesTargets[Salesperson ID],C83)</f>
        <v>2288000</v>
      </c>
      <c r="T83">
        <f>SUMIFS(tblSalesTransactions[Sales Amount],tblSalesTransactions[Salesperson ID],C83,tblSalesTransactions[Date],"&gt;="&amp;A83,tblSalesTransactions[Date],"&lt;"&amp;EDATE(A83,1))</f>
        <v>538500</v>
      </c>
      <c r="U83" s="10">
        <f t="shared" si="12"/>
        <v>2288000</v>
      </c>
      <c r="V83" s="10">
        <f t="shared" si="13"/>
        <v>538500</v>
      </c>
      <c r="W83" t="b">
        <f t="shared" si="17"/>
        <v>1</v>
      </c>
      <c r="X83" t="b">
        <f t="shared" si="18"/>
        <v>1</v>
      </c>
    </row>
    <row r="84" spans="1:24">
      <c r="A84" s="88">
        <v>46204</v>
      </c>
      <c r="B84" s="74">
        <v>7</v>
      </c>
      <c r="C84" s="74" t="s">
        <v>42</v>
      </c>
      <c r="D84" s="74" t="s">
        <v>36</v>
      </c>
      <c r="E84" s="74" t="s">
        <v>11</v>
      </c>
      <c r="F84" s="85">
        <f>SUMIFS(tblSalesTargets[Target Amount],tblSalesTargets[MonthYear],A84,tblSalesTargets[Salesperson ID],C84)</f>
        <v>2184000</v>
      </c>
      <c r="G84" s="85">
        <f>SUMIFS(tblSalesTransactions[Sales Amount],tblSalesTransactions[Salesperson ID],C84,tblSalesTransactions[Date],"&gt;="&amp;A84,tblSalesTransactions[Date],"&lt;"&amp;EDATE(A84,1))</f>
        <v>347500</v>
      </c>
      <c r="H84" s="85">
        <f t="shared" si="14"/>
        <v>-1836500</v>
      </c>
      <c r="I84" s="87">
        <f t="shared" si="15"/>
        <v>0.1591117216117216</v>
      </c>
      <c r="J84" s="74" t="str">
        <f t="shared" si="16"/>
        <v>Below Target</v>
      </c>
      <c r="S84">
        <f>SUMIFS(tblSalesTargets[Target Amount],tblSalesTargets[MonthYear],A84,tblSalesTargets[Salesperson ID],C84)</f>
        <v>2184000</v>
      </c>
      <c r="T84">
        <f>SUMIFS(tblSalesTransactions[Sales Amount],tblSalesTransactions[Salesperson ID],C84,tblSalesTransactions[Date],"&gt;="&amp;A84,tblSalesTransactions[Date],"&lt;"&amp;EDATE(A84,1))</f>
        <v>347500</v>
      </c>
      <c r="U84" s="10">
        <f t="shared" si="12"/>
        <v>2184000</v>
      </c>
      <c r="V84" s="10">
        <f t="shared" si="13"/>
        <v>347500</v>
      </c>
      <c r="W84" t="b">
        <f t="shared" si="17"/>
        <v>1</v>
      </c>
      <c r="X84" t="b">
        <f t="shared" si="18"/>
        <v>1</v>
      </c>
    </row>
    <row r="85" spans="1:24">
      <c r="A85" s="88">
        <v>46204</v>
      </c>
      <c r="B85" s="74">
        <v>7</v>
      </c>
      <c r="C85" s="74" t="s">
        <v>46</v>
      </c>
      <c r="D85" s="74" t="s">
        <v>44</v>
      </c>
      <c r="E85" s="74" t="s">
        <v>14</v>
      </c>
      <c r="F85" s="85">
        <f>SUMIFS(tblSalesTargets[Target Amount],tblSalesTargets[MonthYear],A85,tblSalesTargets[Salesperson ID],C85)</f>
        <v>2288000</v>
      </c>
      <c r="G85" s="85">
        <f>SUMIFS(tblSalesTransactions[Sales Amount],tblSalesTransactions[Salesperson ID],C85,tblSalesTransactions[Date],"&gt;="&amp;A85,tblSalesTransactions[Date],"&lt;"&amp;EDATE(A85,1))</f>
        <v>292750</v>
      </c>
      <c r="H85" s="85">
        <f t="shared" si="14"/>
        <v>-1995250</v>
      </c>
      <c r="I85" s="87">
        <f t="shared" si="15"/>
        <v>0.12795017482517482</v>
      </c>
      <c r="J85" s="74" t="str">
        <f t="shared" si="16"/>
        <v>Below Target</v>
      </c>
      <c r="S85">
        <f>SUMIFS(tblSalesTargets[Target Amount],tblSalesTargets[MonthYear],A85,tblSalesTargets[Salesperson ID],C85)</f>
        <v>2288000</v>
      </c>
      <c r="T85">
        <f>SUMIFS(tblSalesTransactions[Sales Amount],tblSalesTransactions[Salesperson ID],C85,tblSalesTransactions[Date],"&gt;="&amp;A85,tblSalesTransactions[Date],"&lt;"&amp;EDATE(A85,1))</f>
        <v>292750</v>
      </c>
      <c r="U85" s="10">
        <f t="shared" si="12"/>
        <v>2288000</v>
      </c>
      <c r="V85" s="10">
        <f t="shared" si="13"/>
        <v>292750</v>
      </c>
      <c r="W85" t="b">
        <f t="shared" si="17"/>
        <v>1</v>
      </c>
      <c r="X85" t="b">
        <f t="shared" si="18"/>
        <v>1</v>
      </c>
    </row>
    <row r="86" spans="1:24">
      <c r="A86" s="88">
        <v>46204</v>
      </c>
      <c r="B86" s="74">
        <v>7</v>
      </c>
      <c r="C86" s="74" t="s">
        <v>48</v>
      </c>
      <c r="D86" s="74" t="s">
        <v>44</v>
      </c>
      <c r="E86" s="74" t="s">
        <v>14</v>
      </c>
      <c r="F86" s="85">
        <f>SUMIFS(tblSalesTargets[Target Amount],tblSalesTargets[MonthYear],A86,tblSalesTargets[Salesperson ID],C86)</f>
        <v>2080000</v>
      </c>
      <c r="G86" s="85">
        <f>SUMIFS(tblSalesTransactions[Sales Amount],tblSalesTransactions[Salesperson ID],C86,tblSalesTransactions[Date],"&gt;="&amp;A86,tblSalesTransactions[Date],"&lt;"&amp;EDATE(A86,1))</f>
        <v>306750</v>
      </c>
      <c r="H86" s="85">
        <f t="shared" si="14"/>
        <v>-1773250</v>
      </c>
      <c r="I86" s="87">
        <f t="shared" si="15"/>
        <v>0.14747596153846154</v>
      </c>
      <c r="J86" s="74" t="str">
        <f t="shared" si="16"/>
        <v>Below Target</v>
      </c>
      <c r="S86">
        <f>SUMIFS(tblSalesTargets[Target Amount],tblSalesTargets[MonthYear],A86,tblSalesTargets[Salesperson ID],C86)</f>
        <v>2080000</v>
      </c>
      <c r="T86">
        <f>SUMIFS(tblSalesTransactions[Sales Amount],tblSalesTransactions[Salesperson ID],C86,tblSalesTransactions[Date],"&gt;="&amp;A86,tblSalesTransactions[Date],"&lt;"&amp;EDATE(A86,1))</f>
        <v>306750</v>
      </c>
      <c r="U86" s="10">
        <f t="shared" si="12"/>
        <v>2080000</v>
      </c>
      <c r="V86" s="10">
        <f t="shared" si="13"/>
        <v>306750</v>
      </c>
      <c r="W86" t="b">
        <f t="shared" si="17"/>
        <v>1</v>
      </c>
      <c r="X86" t="b">
        <f t="shared" si="18"/>
        <v>1</v>
      </c>
    </row>
    <row r="87" spans="1:24">
      <c r="A87" s="88">
        <v>46204</v>
      </c>
      <c r="B87" s="74">
        <v>7</v>
      </c>
      <c r="C87" s="74" t="s">
        <v>50</v>
      </c>
      <c r="D87" s="74" t="s">
        <v>44</v>
      </c>
      <c r="E87" s="74" t="s">
        <v>14</v>
      </c>
      <c r="F87" s="85">
        <f>SUMIFS(tblSalesTargets[Target Amount],tblSalesTargets[MonthYear],A87,tblSalesTargets[Salesperson ID],C87)</f>
        <v>1976000</v>
      </c>
      <c r="G87" s="85">
        <f>SUMIFS(tblSalesTransactions[Sales Amount],tblSalesTransactions[Salesperson ID],C87,tblSalesTransactions[Date],"&gt;="&amp;A87,tblSalesTransactions[Date],"&lt;"&amp;EDATE(A87,1))</f>
        <v>273750</v>
      </c>
      <c r="H87" s="85">
        <f t="shared" si="14"/>
        <v>-1702250</v>
      </c>
      <c r="I87" s="87">
        <f t="shared" si="15"/>
        <v>0.13853744939271256</v>
      </c>
      <c r="J87" s="74" t="str">
        <f t="shared" si="16"/>
        <v>Below Target</v>
      </c>
      <c r="S87">
        <f>SUMIFS(tblSalesTargets[Target Amount],tblSalesTargets[MonthYear],A87,tblSalesTargets[Salesperson ID],C87)</f>
        <v>1976000</v>
      </c>
      <c r="T87">
        <f>SUMIFS(tblSalesTransactions[Sales Amount],tblSalesTransactions[Salesperson ID],C87,tblSalesTransactions[Date],"&gt;="&amp;A87,tblSalesTransactions[Date],"&lt;"&amp;EDATE(A87,1))</f>
        <v>273750</v>
      </c>
      <c r="U87" s="10">
        <f t="shared" si="12"/>
        <v>1976000</v>
      </c>
      <c r="V87" s="10">
        <f t="shared" si="13"/>
        <v>273750</v>
      </c>
      <c r="W87" t="b">
        <f t="shared" si="17"/>
        <v>1</v>
      </c>
      <c r="X87" t="b">
        <f t="shared" si="18"/>
        <v>1</v>
      </c>
    </row>
    <row r="88" spans="1:24">
      <c r="A88" s="88">
        <v>46235</v>
      </c>
      <c r="B88" s="74">
        <v>8</v>
      </c>
      <c r="C88" s="74" t="s">
        <v>22</v>
      </c>
      <c r="D88" s="74" t="s">
        <v>20</v>
      </c>
      <c r="E88" s="74" t="s">
        <v>4</v>
      </c>
      <c r="F88" s="85">
        <f>SUMIFS(tblSalesTargets[Target Amount],tblSalesTargets[MonthYear],A88,tblSalesTargets[Salesperson ID],C88)</f>
        <v>2650000</v>
      </c>
      <c r="G88" s="85">
        <f>SUMIFS(tblSalesTransactions[Sales Amount],tblSalesTransactions[Salesperson ID],C88,tblSalesTransactions[Date],"&gt;="&amp;A88,tblSalesTransactions[Date],"&lt;"&amp;EDATE(A88,1))</f>
        <v>269750</v>
      </c>
      <c r="H88" s="85">
        <f t="shared" si="14"/>
        <v>-2380250</v>
      </c>
      <c r="I88" s="87">
        <f t="shared" si="15"/>
        <v>0.10179245283018867</v>
      </c>
      <c r="J88" s="74" t="str">
        <f t="shared" si="16"/>
        <v>Below Target</v>
      </c>
      <c r="S88">
        <f>SUMIFS(tblSalesTargets[Target Amount],tblSalesTargets[MonthYear],A88,tblSalesTargets[Salesperson ID],C88)</f>
        <v>2650000</v>
      </c>
      <c r="T88">
        <f>SUMIFS(tblSalesTransactions[Sales Amount],tblSalesTransactions[Salesperson ID],C88,tblSalesTransactions[Date],"&gt;="&amp;A88,tblSalesTransactions[Date],"&lt;"&amp;EDATE(A88,1))</f>
        <v>269750</v>
      </c>
      <c r="U88" s="10">
        <f t="shared" si="12"/>
        <v>2650000</v>
      </c>
      <c r="V88" s="10">
        <f t="shared" si="13"/>
        <v>269750</v>
      </c>
      <c r="W88" t="b">
        <f t="shared" si="17"/>
        <v>1</v>
      </c>
      <c r="X88" t="b">
        <f t="shared" si="18"/>
        <v>1</v>
      </c>
    </row>
    <row r="89" spans="1:24">
      <c r="A89" s="88">
        <v>46235</v>
      </c>
      <c r="B89" s="74">
        <v>8</v>
      </c>
      <c r="C89" s="74" t="s">
        <v>24</v>
      </c>
      <c r="D89" s="74" t="s">
        <v>20</v>
      </c>
      <c r="E89" s="74" t="s">
        <v>4</v>
      </c>
      <c r="F89" s="85">
        <f>SUMIFS(tblSalesTargets[Target Amount],tblSalesTargets[MonthYear],A89,tblSalesTargets[Salesperson ID],C89)</f>
        <v>2438000</v>
      </c>
      <c r="G89" s="85">
        <f>SUMIFS(tblSalesTransactions[Sales Amount],tblSalesTransactions[Salesperson ID],C89,tblSalesTransactions[Date],"&gt;="&amp;A89,tblSalesTransactions[Date],"&lt;"&amp;EDATE(A89,1))</f>
        <v>324000</v>
      </c>
      <c r="H89" s="85">
        <f t="shared" si="14"/>
        <v>-2114000</v>
      </c>
      <c r="I89" s="87">
        <f t="shared" si="15"/>
        <v>0.13289581624282198</v>
      </c>
      <c r="J89" s="74" t="str">
        <f t="shared" si="16"/>
        <v>Below Target</v>
      </c>
      <c r="S89">
        <f>SUMIFS(tblSalesTargets[Target Amount],tblSalesTargets[MonthYear],A89,tblSalesTargets[Salesperson ID],C89)</f>
        <v>2438000</v>
      </c>
      <c r="T89">
        <f>SUMIFS(tblSalesTransactions[Sales Amount],tblSalesTransactions[Salesperson ID],C89,tblSalesTransactions[Date],"&gt;="&amp;A89,tblSalesTransactions[Date],"&lt;"&amp;EDATE(A89,1))</f>
        <v>324000</v>
      </c>
      <c r="U89" s="10">
        <f t="shared" si="12"/>
        <v>2438000</v>
      </c>
      <c r="V89" s="10">
        <f t="shared" si="13"/>
        <v>324000</v>
      </c>
      <c r="W89" t="b">
        <f t="shared" si="17"/>
        <v>1</v>
      </c>
      <c r="X89" t="b">
        <f t="shared" si="18"/>
        <v>1</v>
      </c>
    </row>
    <row r="90" spans="1:24">
      <c r="A90" s="88">
        <v>46235</v>
      </c>
      <c r="B90" s="74">
        <v>8</v>
      </c>
      <c r="C90" s="74" t="s">
        <v>26</v>
      </c>
      <c r="D90" s="74" t="s">
        <v>20</v>
      </c>
      <c r="E90" s="74" t="s">
        <v>4</v>
      </c>
      <c r="F90" s="85">
        <f>SUMIFS(tblSalesTargets[Target Amount],tblSalesTargets[MonthYear],A90,tblSalesTargets[Salesperson ID],C90)</f>
        <v>2332000</v>
      </c>
      <c r="G90" s="85">
        <f>SUMIFS(tblSalesTransactions[Sales Amount],tblSalesTransactions[Salesperson ID],C90,tblSalesTransactions[Date],"&gt;="&amp;A90,tblSalesTransactions[Date],"&lt;"&amp;EDATE(A90,1))</f>
        <v>285500</v>
      </c>
      <c r="H90" s="85">
        <f t="shared" si="14"/>
        <v>-2046500</v>
      </c>
      <c r="I90" s="87">
        <f t="shared" si="15"/>
        <v>0.1224271012006861</v>
      </c>
      <c r="J90" s="74" t="str">
        <f t="shared" si="16"/>
        <v>Below Target</v>
      </c>
      <c r="S90">
        <f>SUMIFS(tblSalesTargets[Target Amount],tblSalesTargets[MonthYear],A90,tblSalesTargets[Salesperson ID],C90)</f>
        <v>2332000</v>
      </c>
      <c r="T90">
        <f>SUMIFS(tblSalesTransactions[Sales Amount],tblSalesTransactions[Salesperson ID],C90,tblSalesTransactions[Date],"&gt;="&amp;A90,tblSalesTransactions[Date],"&lt;"&amp;EDATE(A90,1))</f>
        <v>285500</v>
      </c>
      <c r="U90" s="10">
        <f t="shared" si="12"/>
        <v>2332000</v>
      </c>
      <c r="V90" s="10">
        <f t="shared" si="13"/>
        <v>285500</v>
      </c>
      <c r="W90" t="b">
        <f t="shared" si="17"/>
        <v>1</v>
      </c>
      <c r="X90" t="b">
        <f t="shared" si="18"/>
        <v>1</v>
      </c>
    </row>
    <row r="91" spans="1:24">
      <c r="A91" s="88">
        <v>46235</v>
      </c>
      <c r="B91" s="74">
        <v>8</v>
      </c>
      <c r="C91" s="74" t="s">
        <v>30</v>
      </c>
      <c r="D91" s="74" t="s">
        <v>28</v>
      </c>
      <c r="E91" s="74" t="s">
        <v>8</v>
      </c>
      <c r="F91" s="85">
        <f>SUMIFS(tblSalesTargets[Target Amount],tblSalesTargets[MonthYear],A91,tblSalesTargets[Salesperson ID],C91)</f>
        <v>2862000</v>
      </c>
      <c r="G91" s="85">
        <f>SUMIFS(tblSalesTransactions[Sales Amount],tblSalesTransactions[Salesperson ID],C91,tblSalesTransactions[Date],"&gt;="&amp;A91,tblSalesTransactions[Date],"&lt;"&amp;EDATE(A91,1))</f>
        <v>529500</v>
      </c>
      <c r="H91" s="85">
        <f t="shared" si="14"/>
        <v>-2332500</v>
      </c>
      <c r="I91" s="87">
        <f t="shared" si="15"/>
        <v>0.18501048218029351</v>
      </c>
      <c r="J91" s="74" t="str">
        <f t="shared" si="16"/>
        <v>Below Target</v>
      </c>
      <c r="S91">
        <f>SUMIFS(tblSalesTargets[Target Amount],tblSalesTargets[MonthYear],A91,tblSalesTargets[Salesperson ID],C91)</f>
        <v>2862000</v>
      </c>
      <c r="T91">
        <f>SUMIFS(tblSalesTransactions[Sales Amount],tblSalesTransactions[Salesperson ID],C91,tblSalesTransactions[Date],"&gt;="&amp;A91,tblSalesTransactions[Date],"&lt;"&amp;EDATE(A91,1))</f>
        <v>529500</v>
      </c>
      <c r="U91" s="10">
        <f t="shared" si="12"/>
        <v>2862000</v>
      </c>
      <c r="V91" s="10">
        <f t="shared" si="13"/>
        <v>529500</v>
      </c>
      <c r="W91" t="b">
        <f t="shared" si="17"/>
        <v>1</v>
      </c>
      <c r="X91" t="b">
        <f t="shared" si="18"/>
        <v>1</v>
      </c>
    </row>
    <row r="92" spans="1:24">
      <c r="A92" s="88">
        <v>46235</v>
      </c>
      <c r="B92" s="74">
        <v>8</v>
      </c>
      <c r="C92" s="74" t="s">
        <v>32</v>
      </c>
      <c r="D92" s="74" t="s">
        <v>28</v>
      </c>
      <c r="E92" s="74" t="s">
        <v>8</v>
      </c>
      <c r="F92" s="85">
        <f>SUMIFS(tblSalesTargets[Target Amount],tblSalesTargets[MonthYear],A92,tblSalesTargets[Salesperson ID],C92)</f>
        <v>2650000</v>
      </c>
      <c r="G92" s="85">
        <f>SUMIFS(tblSalesTransactions[Sales Amount],tblSalesTransactions[Salesperson ID],C92,tblSalesTransactions[Date],"&gt;="&amp;A92,tblSalesTransactions[Date],"&lt;"&amp;EDATE(A92,1))</f>
        <v>589500</v>
      </c>
      <c r="H92" s="85">
        <f t="shared" si="14"/>
        <v>-2060500</v>
      </c>
      <c r="I92" s="87">
        <f t="shared" si="15"/>
        <v>0.22245283018867926</v>
      </c>
      <c r="J92" s="74" t="str">
        <f t="shared" si="16"/>
        <v>Below Target</v>
      </c>
      <c r="S92">
        <f>SUMIFS(tblSalesTargets[Target Amount],tblSalesTargets[MonthYear],A92,tblSalesTargets[Salesperson ID],C92)</f>
        <v>2650000</v>
      </c>
      <c r="T92">
        <f>SUMIFS(tblSalesTransactions[Sales Amount],tblSalesTransactions[Salesperson ID],C92,tblSalesTransactions[Date],"&gt;="&amp;A92,tblSalesTransactions[Date],"&lt;"&amp;EDATE(A92,1))</f>
        <v>589500</v>
      </c>
      <c r="U92" s="10">
        <f t="shared" si="12"/>
        <v>2650000</v>
      </c>
      <c r="V92" s="10">
        <f t="shared" si="13"/>
        <v>589500</v>
      </c>
      <c r="W92" t="b">
        <f t="shared" si="17"/>
        <v>1</v>
      </c>
      <c r="X92" t="b">
        <f t="shared" si="18"/>
        <v>1</v>
      </c>
    </row>
    <row r="93" spans="1:24">
      <c r="A93" s="88">
        <v>46235</v>
      </c>
      <c r="B93" s="74">
        <v>8</v>
      </c>
      <c r="C93" s="74" t="s">
        <v>34</v>
      </c>
      <c r="D93" s="74" t="s">
        <v>28</v>
      </c>
      <c r="E93" s="74" t="s">
        <v>8</v>
      </c>
      <c r="F93" s="85">
        <f>SUMIFS(tblSalesTargets[Target Amount],tblSalesTargets[MonthYear],A93,tblSalesTargets[Salesperson ID],C93)</f>
        <v>2438000</v>
      </c>
      <c r="G93" s="85">
        <f>SUMIFS(tblSalesTransactions[Sales Amount],tblSalesTransactions[Salesperson ID],C93,tblSalesTransactions[Date],"&gt;="&amp;A93,tblSalesTransactions[Date],"&lt;"&amp;EDATE(A93,1))</f>
        <v>350000</v>
      </c>
      <c r="H93" s="85">
        <f t="shared" si="14"/>
        <v>-2088000</v>
      </c>
      <c r="I93" s="87">
        <f t="shared" si="15"/>
        <v>0.14356029532403611</v>
      </c>
      <c r="J93" s="74" t="str">
        <f t="shared" si="16"/>
        <v>Below Target</v>
      </c>
      <c r="S93">
        <f>SUMIFS(tblSalesTargets[Target Amount],tblSalesTargets[MonthYear],A93,tblSalesTargets[Salesperson ID],C93)</f>
        <v>2438000</v>
      </c>
      <c r="T93">
        <f>SUMIFS(tblSalesTransactions[Sales Amount],tblSalesTransactions[Salesperson ID],C93,tblSalesTransactions[Date],"&gt;="&amp;A93,tblSalesTransactions[Date],"&lt;"&amp;EDATE(A93,1))</f>
        <v>350000</v>
      </c>
      <c r="U93" s="10">
        <f t="shared" si="12"/>
        <v>2438000</v>
      </c>
      <c r="V93" s="10">
        <f t="shared" si="13"/>
        <v>350000</v>
      </c>
      <c r="W93" t="b">
        <f t="shared" si="17"/>
        <v>1</v>
      </c>
      <c r="X93" t="b">
        <f t="shared" si="18"/>
        <v>1</v>
      </c>
    </row>
    <row r="94" spans="1:24">
      <c r="A94" s="88">
        <v>46235</v>
      </c>
      <c r="B94" s="74">
        <v>8</v>
      </c>
      <c r="C94" s="74" t="s">
        <v>38</v>
      </c>
      <c r="D94" s="74" t="s">
        <v>36</v>
      </c>
      <c r="E94" s="74" t="s">
        <v>11</v>
      </c>
      <c r="F94" s="85">
        <f>SUMIFS(tblSalesTargets[Target Amount],tblSalesTargets[MonthYear],A94,tblSalesTargets[Salesperson ID],C94)</f>
        <v>2544000</v>
      </c>
      <c r="G94" s="85">
        <f>SUMIFS(tblSalesTransactions[Sales Amount],tblSalesTransactions[Salesperson ID],C94,tblSalesTransactions[Date],"&gt;="&amp;A94,tblSalesTransactions[Date],"&lt;"&amp;EDATE(A94,1))</f>
        <v>615000</v>
      </c>
      <c r="H94" s="85">
        <f t="shared" si="14"/>
        <v>-1929000</v>
      </c>
      <c r="I94" s="87">
        <f t="shared" si="15"/>
        <v>0.24174528301886791</v>
      </c>
      <c r="J94" s="74" t="str">
        <f t="shared" si="16"/>
        <v>Below Target</v>
      </c>
      <c r="S94">
        <f>SUMIFS(tblSalesTargets[Target Amount],tblSalesTargets[MonthYear],A94,tblSalesTargets[Salesperson ID],C94)</f>
        <v>2544000</v>
      </c>
      <c r="T94">
        <f>SUMIFS(tblSalesTransactions[Sales Amount],tblSalesTransactions[Salesperson ID],C94,tblSalesTransactions[Date],"&gt;="&amp;A94,tblSalesTransactions[Date],"&lt;"&amp;EDATE(A94,1))</f>
        <v>615000</v>
      </c>
      <c r="U94" s="10">
        <f t="shared" si="12"/>
        <v>2544000</v>
      </c>
      <c r="V94" s="10">
        <f t="shared" si="13"/>
        <v>615000</v>
      </c>
      <c r="W94" t="b">
        <f t="shared" si="17"/>
        <v>1</v>
      </c>
      <c r="X94" t="b">
        <f t="shared" si="18"/>
        <v>1</v>
      </c>
    </row>
    <row r="95" spans="1:24">
      <c r="A95" s="88">
        <v>46235</v>
      </c>
      <c r="B95" s="74">
        <v>8</v>
      </c>
      <c r="C95" s="74" t="s">
        <v>40</v>
      </c>
      <c r="D95" s="74" t="s">
        <v>36</v>
      </c>
      <c r="E95" s="74" t="s">
        <v>11</v>
      </c>
      <c r="F95" s="85">
        <f>SUMIFS(tblSalesTargets[Target Amount],tblSalesTargets[MonthYear],A95,tblSalesTargets[Salesperson ID],C95)</f>
        <v>2332000</v>
      </c>
      <c r="G95" s="85">
        <f>SUMIFS(tblSalesTransactions[Sales Amount],tblSalesTransactions[Salesperson ID],C95,tblSalesTransactions[Date],"&gt;="&amp;A95,tblSalesTransactions[Date],"&lt;"&amp;EDATE(A95,1))</f>
        <v>621000</v>
      </c>
      <c r="H95" s="85">
        <f t="shared" si="14"/>
        <v>-1711000</v>
      </c>
      <c r="I95" s="87">
        <f t="shared" si="15"/>
        <v>0.266295025728988</v>
      </c>
      <c r="J95" s="74" t="str">
        <f t="shared" si="16"/>
        <v>Below Target</v>
      </c>
      <c r="S95">
        <f>SUMIFS(tblSalesTargets[Target Amount],tblSalesTargets[MonthYear],A95,tblSalesTargets[Salesperson ID],C95)</f>
        <v>2332000</v>
      </c>
      <c r="T95">
        <f>SUMIFS(tblSalesTransactions[Sales Amount],tblSalesTransactions[Salesperson ID],C95,tblSalesTransactions[Date],"&gt;="&amp;A95,tblSalesTransactions[Date],"&lt;"&amp;EDATE(A95,1))</f>
        <v>621000</v>
      </c>
      <c r="U95" s="10">
        <f t="shared" si="12"/>
        <v>2332000</v>
      </c>
      <c r="V95" s="10">
        <f t="shared" si="13"/>
        <v>621000</v>
      </c>
      <c r="W95" t="b">
        <f t="shared" si="17"/>
        <v>1</v>
      </c>
      <c r="X95" t="b">
        <f t="shared" si="18"/>
        <v>1</v>
      </c>
    </row>
    <row r="96" spans="1:24">
      <c r="A96" s="88">
        <v>46235</v>
      </c>
      <c r="B96" s="74">
        <v>8</v>
      </c>
      <c r="C96" s="74" t="s">
        <v>42</v>
      </c>
      <c r="D96" s="74" t="s">
        <v>36</v>
      </c>
      <c r="E96" s="74" t="s">
        <v>11</v>
      </c>
      <c r="F96" s="85">
        <f>SUMIFS(tblSalesTargets[Target Amount],tblSalesTargets[MonthYear],A96,tblSalesTargets[Salesperson ID],C96)</f>
        <v>2226000</v>
      </c>
      <c r="G96" s="85">
        <f>SUMIFS(tblSalesTransactions[Sales Amount],tblSalesTransactions[Salesperson ID],C96,tblSalesTransactions[Date],"&gt;="&amp;A96,tblSalesTransactions[Date],"&lt;"&amp;EDATE(A96,1))</f>
        <v>356250</v>
      </c>
      <c r="H96" s="85">
        <f t="shared" si="14"/>
        <v>-1869750</v>
      </c>
      <c r="I96" s="87">
        <f t="shared" si="15"/>
        <v>0.16004043126684636</v>
      </c>
      <c r="J96" s="74" t="str">
        <f t="shared" si="16"/>
        <v>Below Target</v>
      </c>
      <c r="S96">
        <f>SUMIFS(tblSalesTargets[Target Amount],tblSalesTargets[MonthYear],A96,tblSalesTargets[Salesperson ID],C96)</f>
        <v>2226000</v>
      </c>
      <c r="T96">
        <f>SUMIFS(tblSalesTransactions[Sales Amount],tblSalesTransactions[Salesperson ID],C96,tblSalesTransactions[Date],"&gt;="&amp;A96,tblSalesTransactions[Date],"&lt;"&amp;EDATE(A96,1))</f>
        <v>356250</v>
      </c>
      <c r="U96" s="10">
        <f t="shared" si="12"/>
        <v>2226000</v>
      </c>
      <c r="V96" s="10">
        <f t="shared" si="13"/>
        <v>356250</v>
      </c>
      <c r="W96" t="b">
        <f t="shared" si="17"/>
        <v>1</v>
      </c>
      <c r="X96" t="b">
        <f t="shared" si="18"/>
        <v>1</v>
      </c>
    </row>
    <row r="97" spans="1:24">
      <c r="A97" s="88">
        <v>46235</v>
      </c>
      <c r="B97" s="74">
        <v>8</v>
      </c>
      <c r="C97" s="74" t="s">
        <v>46</v>
      </c>
      <c r="D97" s="74" t="s">
        <v>44</v>
      </c>
      <c r="E97" s="74" t="s">
        <v>14</v>
      </c>
      <c r="F97" s="85">
        <f>SUMIFS(tblSalesTargets[Target Amount],tblSalesTargets[MonthYear],A97,tblSalesTargets[Salesperson ID],C97)</f>
        <v>2332000</v>
      </c>
      <c r="G97" s="85">
        <f>SUMIFS(tblSalesTransactions[Sales Amount],tblSalesTransactions[Salesperson ID],C97,tblSalesTransactions[Date],"&gt;="&amp;A97,tblSalesTransactions[Date],"&lt;"&amp;EDATE(A97,1))</f>
        <v>330250</v>
      </c>
      <c r="H97" s="85">
        <f t="shared" si="14"/>
        <v>-2001750</v>
      </c>
      <c r="I97" s="87">
        <f t="shared" si="15"/>
        <v>0.14161663807890223</v>
      </c>
      <c r="J97" s="74" t="str">
        <f t="shared" si="16"/>
        <v>Below Target</v>
      </c>
      <c r="S97">
        <f>SUMIFS(tblSalesTargets[Target Amount],tblSalesTargets[MonthYear],A97,tblSalesTargets[Salesperson ID],C97)</f>
        <v>2332000</v>
      </c>
      <c r="T97">
        <f>SUMIFS(tblSalesTransactions[Sales Amount],tblSalesTransactions[Salesperson ID],C97,tblSalesTransactions[Date],"&gt;="&amp;A97,tblSalesTransactions[Date],"&lt;"&amp;EDATE(A97,1))</f>
        <v>330250</v>
      </c>
      <c r="U97" s="10">
        <f t="shared" si="12"/>
        <v>2332000</v>
      </c>
      <c r="V97" s="10">
        <f t="shared" si="13"/>
        <v>330250</v>
      </c>
      <c r="W97" t="b">
        <f t="shared" si="17"/>
        <v>1</v>
      </c>
      <c r="X97" t="b">
        <f t="shared" si="18"/>
        <v>1</v>
      </c>
    </row>
    <row r="98" spans="1:24">
      <c r="A98" s="88">
        <v>46235</v>
      </c>
      <c r="B98" s="74">
        <v>8</v>
      </c>
      <c r="C98" s="74" t="s">
        <v>48</v>
      </c>
      <c r="D98" s="74" t="s">
        <v>44</v>
      </c>
      <c r="E98" s="74" t="s">
        <v>14</v>
      </c>
      <c r="F98" s="85">
        <f>SUMIFS(tblSalesTargets[Target Amount],tblSalesTargets[MonthYear],A98,tblSalesTargets[Salesperson ID],C98)</f>
        <v>2120000</v>
      </c>
      <c r="G98" s="85">
        <f>SUMIFS(tblSalesTransactions[Sales Amount],tblSalesTransactions[Salesperson ID],C98,tblSalesTransactions[Date],"&gt;="&amp;A98,tblSalesTransactions[Date],"&lt;"&amp;EDATE(A98,1))</f>
        <v>343500</v>
      </c>
      <c r="H98" s="85">
        <f t="shared" si="14"/>
        <v>-1776500</v>
      </c>
      <c r="I98" s="87">
        <f t="shared" si="15"/>
        <v>0.16202830188679246</v>
      </c>
      <c r="J98" s="74" t="str">
        <f t="shared" si="16"/>
        <v>Below Target</v>
      </c>
      <c r="S98">
        <f>SUMIFS(tblSalesTargets[Target Amount],tblSalesTargets[MonthYear],A98,tblSalesTargets[Salesperson ID],C98)</f>
        <v>2120000</v>
      </c>
      <c r="T98">
        <f>SUMIFS(tblSalesTransactions[Sales Amount],tblSalesTransactions[Salesperson ID],C98,tblSalesTransactions[Date],"&gt;="&amp;A98,tblSalesTransactions[Date],"&lt;"&amp;EDATE(A98,1))</f>
        <v>343500</v>
      </c>
      <c r="U98" s="10">
        <f t="shared" si="12"/>
        <v>2120000</v>
      </c>
      <c r="V98" s="10">
        <f t="shared" si="13"/>
        <v>343500</v>
      </c>
      <c r="W98" t="b">
        <f t="shared" si="17"/>
        <v>1</v>
      </c>
      <c r="X98" t="b">
        <f t="shared" si="18"/>
        <v>1</v>
      </c>
    </row>
    <row r="99" spans="1:24">
      <c r="A99" s="88">
        <v>46235</v>
      </c>
      <c r="B99" s="74">
        <v>8</v>
      </c>
      <c r="C99" s="74" t="s">
        <v>50</v>
      </c>
      <c r="D99" s="74" t="s">
        <v>44</v>
      </c>
      <c r="E99" s="74" t="s">
        <v>14</v>
      </c>
      <c r="F99" s="85">
        <f>SUMIFS(tblSalesTargets[Target Amount],tblSalesTargets[MonthYear],A99,tblSalesTargets[Salesperson ID],C99)</f>
        <v>2014000</v>
      </c>
      <c r="G99" s="85">
        <f>SUMIFS(tblSalesTransactions[Sales Amount],tblSalesTransactions[Salesperson ID],C99,tblSalesTransactions[Date],"&gt;="&amp;A99,tblSalesTransactions[Date],"&lt;"&amp;EDATE(A99,1))</f>
        <v>317250</v>
      </c>
      <c r="H99" s="85">
        <f t="shared" si="14"/>
        <v>-1696750</v>
      </c>
      <c r="I99" s="87">
        <f t="shared" si="15"/>
        <v>0.15752234359483613</v>
      </c>
      <c r="J99" s="74" t="str">
        <f t="shared" si="16"/>
        <v>Below Target</v>
      </c>
      <c r="S99">
        <f>SUMIFS(tblSalesTargets[Target Amount],tblSalesTargets[MonthYear],A99,tblSalesTargets[Salesperson ID],C99)</f>
        <v>2014000</v>
      </c>
      <c r="T99">
        <f>SUMIFS(tblSalesTransactions[Sales Amount],tblSalesTransactions[Salesperson ID],C99,tblSalesTransactions[Date],"&gt;="&amp;A99,tblSalesTransactions[Date],"&lt;"&amp;EDATE(A99,1))</f>
        <v>317250</v>
      </c>
      <c r="U99" s="10">
        <f t="shared" si="12"/>
        <v>2014000</v>
      </c>
      <c r="V99" s="10">
        <f t="shared" si="13"/>
        <v>317250</v>
      </c>
      <c r="W99" t="b">
        <f t="shared" si="17"/>
        <v>1</v>
      </c>
      <c r="X99" t="b">
        <f t="shared" si="18"/>
        <v>1</v>
      </c>
    </row>
    <row r="100" spans="1:24">
      <c r="A100" s="88">
        <v>46266</v>
      </c>
      <c r="B100" s="74">
        <v>9</v>
      </c>
      <c r="C100" s="74" t="s">
        <v>22</v>
      </c>
      <c r="D100" s="74" t="s">
        <v>20</v>
      </c>
      <c r="E100" s="74" t="s">
        <v>4</v>
      </c>
      <c r="F100" s="85">
        <f>SUMIFS(tblSalesTargets[Target Amount],tblSalesTargets[MonthYear],A100,tblSalesTargets[Salesperson ID],C100)</f>
        <v>2675000</v>
      </c>
      <c r="G100" s="85">
        <f>SUMIFS(tblSalesTransactions[Sales Amount],tblSalesTransactions[Salesperson ID],C100,tblSalesTransactions[Date],"&gt;="&amp;A100,tblSalesTransactions[Date],"&lt;"&amp;EDATE(A100,1))</f>
        <v>274000</v>
      </c>
      <c r="H100" s="85">
        <f t="shared" si="14"/>
        <v>-2401000</v>
      </c>
      <c r="I100" s="87">
        <f t="shared" si="15"/>
        <v>0.10242990654205608</v>
      </c>
      <c r="J100" s="74" t="str">
        <f t="shared" si="16"/>
        <v>Below Target</v>
      </c>
      <c r="S100">
        <f>SUMIFS(tblSalesTargets[Target Amount],tblSalesTargets[MonthYear],A100,tblSalesTargets[Salesperson ID],C100)</f>
        <v>2675000</v>
      </c>
      <c r="T100">
        <f>SUMIFS(tblSalesTransactions[Sales Amount],tblSalesTransactions[Salesperson ID],C100,tblSalesTransactions[Date],"&gt;="&amp;A100,tblSalesTransactions[Date],"&lt;"&amp;EDATE(A100,1))</f>
        <v>274000</v>
      </c>
      <c r="U100" s="10">
        <f t="shared" ref="U100:U131" si="19">F100</f>
        <v>2675000</v>
      </c>
      <c r="V100" s="10">
        <f t="shared" ref="V100:V131" si="20">G100</f>
        <v>274000</v>
      </c>
      <c r="W100" t="b">
        <f t="shared" si="17"/>
        <v>1</v>
      </c>
      <c r="X100" t="b">
        <f t="shared" si="18"/>
        <v>1</v>
      </c>
    </row>
    <row r="101" spans="1:24">
      <c r="A101" s="88">
        <v>46266</v>
      </c>
      <c r="B101" s="74">
        <v>9</v>
      </c>
      <c r="C101" s="74" t="s">
        <v>24</v>
      </c>
      <c r="D101" s="74" t="s">
        <v>20</v>
      </c>
      <c r="E101" s="74" t="s">
        <v>4</v>
      </c>
      <c r="F101" s="85">
        <f>SUMIFS(tblSalesTargets[Target Amount],tblSalesTargets[MonthYear],A101,tblSalesTargets[Salesperson ID],C101)</f>
        <v>2461000</v>
      </c>
      <c r="G101" s="85">
        <f>SUMIFS(tblSalesTransactions[Sales Amount],tblSalesTransactions[Salesperson ID],C101,tblSalesTransactions[Date],"&gt;="&amp;A101,tblSalesTransactions[Date],"&lt;"&amp;EDATE(A101,1))</f>
        <v>397500</v>
      </c>
      <c r="H101" s="85">
        <f t="shared" si="14"/>
        <v>-2063500</v>
      </c>
      <c r="I101" s="87">
        <f t="shared" si="15"/>
        <v>0.16151970743600164</v>
      </c>
      <c r="J101" s="74" t="str">
        <f t="shared" si="16"/>
        <v>Below Target</v>
      </c>
      <c r="S101">
        <f>SUMIFS(tblSalesTargets[Target Amount],tblSalesTargets[MonthYear],A101,tblSalesTargets[Salesperson ID],C101)</f>
        <v>2461000</v>
      </c>
      <c r="T101">
        <f>SUMIFS(tblSalesTransactions[Sales Amount],tblSalesTransactions[Salesperson ID],C101,tblSalesTransactions[Date],"&gt;="&amp;A101,tblSalesTransactions[Date],"&lt;"&amp;EDATE(A101,1))</f>
        <v>397500</v>
      </c>
      <c r="U101" s="10">
        <f t="shared" si="19"/>
        <v>2461000</v>
      </c>
      <c r="V101" s="10">
        <f t="shared" si="20"/>
        <v>397500</v>
      </c>
      <c r="W101" t="b">
        <f t="shared" si="17"/>
        <v>1</v>
      </c>
      <c r="X101" t="b">
        <f t="shared" si="18"/>
        <v>1</v>
      </c>
    </row>
    <row r="102" spans="1:24">
      <c r="A102" s="88">
        <v>46266</v>
      </c>
      <c r="B102" s="74">
        <v>9</v>
      </c>
      <c r="C102" s="74" t="s">
        <v>26</v>
      </c>
      <c r="D102" s="74" t="s">
        <v>20</v>
      </c>
      <c r="E102" s="74" t="s">
        <v>4</v>
      </c>
      <c r="F102" s="85">
        <f>SUMIFS(tblSalesTargets[Target Amount],tblSalesTargets[MonthYear],A102,tblSalesTargets[Salesperson ID],C102)</f>
        <v>2354000</v>
      </c>
      <c r="G102" s="85">
        <f>SUMIFS(tblSalesTransactions[Sales Amount],tblSalesTransactions[Salesperson ID],C102,tblSalesTransactions[Date],"&gt;="&amp;A102,tblSalesTransactions[Date],"&lt;"&amp;EDATE(A102,1))</f>
        <v>366250</v>
      </c>
      <c r="H102" s="85">
        <f t="shared" si="14"/>
        <v>-1987750</v>
      </c>
      <c r="I102" s="87">
        <f t="shared" si="15"/>
        <v>0.15558623619371284</v>
      </c>
      <c r="J102" s="74" t="str">
        <f t="shared" si="16"/>
        <v>Below Target</v>
      </c>
      <c r="S102">
        <f>SUMIFS(tblSalesTargets[Target Amount],tblSalesTargets[MonthYear],A102,tblSalesTargets[Salesperson ID],C102)</f>
        <v>2354000</v>
      </c>
      <c r="T102">
        <f>SUMIFS(tblSalesTransactions[Sales Amount],tblSalesTransactions[Salesperson ID],C102,tblSalesTransactions[Date],"&gt;="&amp;A102,tblSalesTransactions[Date],"&lt;"&amp;EDATE(A102,1))</f>
        <v>366250</v>
      </c>
      <c r="U102" s="10">
        <f t="shared" si="19"/>
        <v>2354000</v>
      </c>
      <c r="V102" s="10">
        <f t="shared" si="20"/>
        <v>366250</v>
      </c>
      <c r="W102" t="b">
        <f t="shared" si="17"/>
        <v>1</v>
      </c>
      <c r="X102" t="b">
        <f t="shared" si="18"/>
        <v>1</v>
      </c>
    </row>
    <row r="103" spans="1:24">
      <c r="A103" s="88">
        <v>46266</v>
      </c>
      <c r="B103" s="74">
        <v>9</v>
      </c>
      <c r="C103" s="74" t="s">
        <v>30</v>
      </c>
      <c r="D103" s="74" t="s">
        <v>28</v>
      </c>
      <c r="E103" s="74" t="s">
        <v>8</v>
      </c>
      <c r="F103" s="85">
        <f>SUMIFS(tblSalesTargets[Target Amount],tblSalesTargets[MonthYear],A103,tblSalesTargets[Salesperson ID],C103)</f>
        <v>2889000</v>
      </c>
      <c r="G103" s="85">
        <f>SUMIFS(tblSalesTransactions[Sales Amount],tblSalesTransactions[Salesperson ID],C103,tblSalesTransactions[Date],"&gt;="&amp;A103,tblSalesTransactions[Date],"&lt;"&amp;EDATE(A103,1))</f>
        <v>508000</v>
      </c>
      <c r="H103" s="85">
        <f t="shared" si="14"/>
        <v>-2381000</v>
      </c>
      <c r="I103" s="87">
        <f t="shared" si="15"/>
        <v>0.17583939079266181</v>
      </c>
      <c r="J103" s="74" t="str">
        <f t="shared" si="16"/>
        <v>Below Target</v>
      </c>
      <c r="S103">
        <f>SUMIFS(tblSalesTargets[Target Amount],tblSalesTargets[MonthYear],A103,tblSalesTargets[Salesperson ID],C103)</f>
        <v>2889000</v>
      </c>
      <c r="T103">
        <f>SUMIFS(tblSalesTransactions[Sales Amount],tblSalesTransactions[Salesperson ID],C103,tblSalesTransactions[Date],"&gt;="&amp;A103,tblSalesTransactions[Date],"&lt;"&amp;EDATE(A103,1))</f>
        <v>508000</v>
      </c>
      <c r="U103" s="10">
        <f t="shared" si="19"/>
        <v>2889000</v>
      </c>
      <c r="V103" s="10">
        <f t="shared" si="20"/>
        <v>508000</v>
      </c>
      <c r="W103" t="b">
        <f t="shared" si="17"/>
        <v>1</v>
      </c>
      <c r="X103" t="b">
        <f t="shared" si="18"/>
        <v>1</v>
      </c>
    </row>
    <row r="104" spans="1:24">
      <c r="A104" s="88">
        <v>46266</v>
      </c>
      <c r="B104" s="74">
        <v>9</v>
      </c>
      <c r="C104" s="74" t="s">
        <v>32</v>
      </c>
      <c r="D104" s="74" t="s">
        <v>28</v>
      </c>
      <c r="E104" s="74" t="s">
        <v>8</v>
      </c>
      <c r="F104" s="85">
        <f>SUMIFS(tblSalesTargets[Target Amount],tblSalesTargets[MonthYear],A104,tblSalesTargets[Salesperson ID],C104)</f>
        <v>2675000</v>
      </c>
      <c r="G104" s="85">
        <f>SUMIFS(tblSalesTransactions[Sales Amount],tblSalesTransactions[Salesperson ID],C104,tblSalesTransactions[Date],"&gt;="&amp;A104,tblSalesTransactions[Date],"&lt;"&amp;EDATE(A104,1))</f>
        <v>490500</v>
      </c>
      <c r="H104" s="85">
        <f t="shared" si="14"/>
        <v>-2184500</v>
      </c>
      <c r="I104" s="87">
        <f t="shared" si="15"/>
        <v>0.18336448598130842</v>
      </c>
      <c r="J104" s="74" t="str">
        <f t="shared" si="16"/>
        <v>Below Target</v>
      </c>
      <c r="S104">
        <f>SUMIFS(tblSalesTargets[Target Amount],tblSalesTargets[MonthYear],A104,tblSalesTargets[Salesperson ID],C104)</f>
        <v>2675000</v>
      </c>
      <c r="T104">
        <f>SUMIFS(tblSalesTransactions[Sales Amount],tblSalesTransactions[Salesperson ID],C104,tblSalesTransactions[Date],"&gt;="&amp;A104,tblSalesTransactions[Date],"&lt;"&amp;EDATE(A104,1))</f>
        <v>490500</v>
      </c>
      <c r="U104" s="10">
        <f t="shared" si="19"/>
        <v>2675000</v>
      </c>
      <c r="V104" s="10">
        <f t="shared" si="20"/>
        <v>490500</v>
      </c>
      <c r="W104" t="b">
        <f t="shared" si="17"/>
        <v>1</v>
      </c>
      <c r="X104" t="b">
        <f t="shared" si="18"/>
        <v>1</v>
      </c>
    </row>
    <row r="105" spans="1:24">
      <c r="A105" s="88">
        <v>46266</v>
      </c>
      <c r="B105" s="74">
        <v>9</v>
      </c>
      <c r="C105" s="74" t="s">
        <v>34</v>
      </c>
      <c r="D105" s="74" t="s">
        <v>28</v>
      </c>
      <c r="E105" s="74" t="s">
        <v>8</v>
      </c>
      <c r="F105" s="85">
        <f>SUMIFS(tblSalesTargets[Target Amount],tblSalesTargets[MonthYear],A105,tblSalesTargets[Salesperson ID],C105)</f>
        <v>2461000</v>
      </c>
      <c r="G105" s="85">
        <f>SUMIFS(tblSalesTransactions[Sales Amount],tblSalesTransactions[Salesperson ID],C105,tblSalesTransactions[Date],"&gt;="&amp;A105,tblSalesTransactions[Date],"&lt;"&amp;EDATE(A105,1))</f>
        <v>512000</v>
      </c>
      <c r="H105" s="85">
        <f t="shared" si="14"/>
        <v>-1949000</v>
      </c>
      <c r="I105" s="87">
        <f t="shared" si="15"/>
        <v>0.20804550995530272</v>
      </c>
      <c r="J105" s="74" t="str">
        <f t="shared" si="16"/>
        <v>Below Target</v>
      </c>
      <c r="S105">
        <f>SUMIFS(tblSalesTargets[Target Amount],tblSalesTargets[MonthYear],A105,tblSalesTargets[Salesperson ID],C105)</f>
        <v>2461000</v>
      </c>
      <c r="T105">
        <f>SUMIFS(tblSalesTransactions[Sales Amount],tblSalesTransactions[Salesperson ID],C105,tblSalesTransactions[Date],"&gt;="&amp;A105,tblSalesTransactions[Date],"&lt;"&amp;EDATE(A105,1))</f>
        <v>512000</v>
      </c>
      <c r="U105" s="10">
        <f t="shared" si="19"/>
        <v>2461000</v>
      </c>
      <c r="V105" s="10">
        <f t="shared" si="20"/>
        <v>512000</v>
      </c>
      <c r="W105" t="b">
        <f t="shared" si="17"/>
        <v>1</v>
      </c>
      <c r="X105" t="b">
        <f t="shared" si="18"/>
        <v>1</v>
      </c>
    </row>
    <row r="106" spans="1:24">
      <c r="A106" s="88">
        <v>46266</v>
      </c>
      <c r="B106" s="74">
        <v>9</v>
      </c>
      <c r="C106" s="74" t="s">
        <v>38</v>
      </c>
      <c r="D106" s="74" t="s">
        <v>36</v>
      </c>
      <c r="E106" s="74" t="s">
        <v>11</v>
      </c>
      <c r="F106" s="85">
        <f>SUMIFS(tblSalesTargets[Target Amount],tblSalesTargets[MonthYear],A106,tblSalesTargets[Salesperson ID],C106)</f>
        <v>2568000</v>
      </c>
      <c r="G106" s="85">
        <f>SUMIFS(tblSalesTransactions[Sales Amount],tblSalesTransactions[Salesperson ID],C106,tblSalesTransactions[Date],"&gt;="&amp;A106,tblSalesTransactions[Date],"&lt;"&amp;EDATE(A106,1))</f>
        <v>585000</v>
      </c>
      <c r="H106" s="85">
        <f t="shared" si="14"/>
        <v>-1983000</v>
      </c>
      <c r="I106" s="87">
        <f t="shared" si="15"/>
        <v>0.22780373831775702</v>
      </c>
      <c r="J106" s="74" t="str">
        <f t="shared" si="16"/>
        <v>Below Target</v>
      </c>
      <c r="S106">
        <f>SUMIFS(tblSalesTargets[Target Amount],tblSalesTargets[MonthYear],A106,tblSalesTargets[Salesperson ID],C106)</f>
        <v>2568000</v>
      </c>
      <c r="T106">
        <f>SUMIFS(tblSalesTransactions[Sales Amount],tblSalesTransactions[Salesperson ID],C106,tblSalesTransactions[Date],"&gt;="&amp;A106,tblSalesTransactions[Date],"&lt;"&amp;EDATE(A106,1))</f>
        <v>585000</v>
      </c>
      <c r="U106" s="10">
        <f t="shared" si="19"/>
        <v>2568000</v>
      </c>
      <c r="V106" s="10">
        <f t="shared" si="20"/>
        <v>585000</v>
      </c>
      <c r="W106" t="b">
        <f t="shared" si="17"/>
        <v>1</v>
      </c>
      <c r="X106" t="b">
        <f t="shared" si="18"/>
        <v>1</v>
      </c>
    </row>
    <row r="107" spans="1:24">
      <c r="A107" s="88">
        <v>46266</v>
      </c>
      <c r="B107" s="74">
        <v>9</v>
      </c>
      <c r="C107" s="74" t="s">
        <v>40</v>
      </c>
      <c r="D107" s="74" t="s">
        <v>36</v>
      </c>
      <c r="E107" s="74" t="s">
        <v>11</v>
      </c>
      <c r="F107" s="85">
        <f>SUMIFS(tblSalesTargets[Target Amount],tblSalesTargets[MonthYear],A107,tblSalesTargets[Salesperson ID],C107)</f>
        <v>2354000</v>
      </c>
      <c r="G107" s="85">
        <f>SUMIFS(tblSalesTransactions[Sales Amount],tblSalesTransactions[Salesperson ID],C107,tblSalesTransactions[Date],"&gt;="&amp;A107,tblSalesTransactions[Date],"&lt;"&amp;EDATE(A107,1))</f>
        <v>648500</v>
      </c>
      <c r="H107" s="85">
        <f t="shared" si="14"/>
        <v>-1705500</v>
      </c>
      <c r="I107" s="87">
        <f t="shared" si="15"/>
        <v>0.27548853016142738</v>
      </c>
      <c r="J107" s="74" t="str">
        <f t="shared" si="16"/>
        <v>Below Target</v>
      </c>
      <c r="S107">
        <f>SUMIFS(tblSalesTargets[Target Amount],tblSalesTargets[MonthYear],A107,tblSalesTargets[Salesperson ID],C107)</f>
        <v>2354000</v>
      </c>
      <c r="T107">
        <f>SUMIFS(tblSalesTransactions[Sales Amount],tblSalesTransactions[Salesperson ID],C107,tblSalesTransactions[Date],"&gt;="&amp;A107,tblSalesTransactions[Date],"&lt;"&amp;EDATE(A107,1))</f>
        <v>648500</v>
      </c>
      <c r="U107" s="10">
        <f t="shared" si="19"/>
        <v>2354000</v>
      </c>
      <c r="V107" s="10">
        <f t="shared" si="20"/>
        <v>648500</v>
      </c>
      <c r="W107" t="b">
        <f t="shared" si="17"/>
        <v>1</v>
      </c>
      <c r="X107" t="b">
        <f t="shared" si="18"/>
        <v>1</v>
      </c>
    </row>
    <row r="108" spans="1:24">
      <c r="A108" s="88">
        <v>46266</v>
      </c>
      <c r="B108" s="74">
        <v>9</v>
      </c>
      <c r="C108" s="74" t="s">
        <v>42</v>
      </c>
      <c r="D108" s="74" t="s">
        <v>36</v>
      </c>
      <c r="E108" s="74" t="s">
        <v>11</v>
      </c>
      <c r="F108" s="85">
        <f>SUMIFS(tblSalesTargets[Target Amount],tblSalesTargets[MonthYear],A108,tblSalesTargets[Salesperson ID],C108)</f>
        <v>2247000</v>
      </c>
      <c r="G108" s="85">
        <f>SUMIFS(tblSalesTransactions[Sales Amount],tblSalesTransactions[Salesperson ID],C108,tblSalesTransactions[Date],"&gt;="&amp;A108,tblSalesTransactions[Date],"&lt;"&amp;EDATE(A108,1))</f>
        <v>381000</v>
      </c>
      <c r="H108" s="85">
        <f t="shared" si="14"/>
        <v>-1866000</v>
      </c>
      <c r="I108" s="87">
        <f t="shared" si="15"/>
        <v>0.16955941255006676</v>
      </c>
      <c r="J108" s="74" t="str">
        <f t="shared" si="16"/>
        <v>Below Target</v>
      </c>
      <c r="S108">
        <f>SUMIFS(tblSalesTargets[Target Amount],tblSalesTargets[MonthYear],A108,tblSalesTargets[Salesperson ID],C108)</f>
        <v>2247000</v>
      </c>
      <c r="T108">
        <f>SUMIFS(tblSalesTransactions[Sales Amount],tblSalesTransactions[Salesperson ID],C108,tblSalesTransactions[Date],"&gt;="&amp;A108,tblSalesTransactions[Date],"&lt;"&amp;EDATE(A108,1))</f>
        <v>381000</v>
      </c>
      <c r="U108" s="10">
        <f t="shared" si="19"/>
        <v>2247000</v>
      </c>
      <c r="V108" s="10">
        <f t="shared" si="20"/>
        <v>381000</v>
      </c>
      <c r="W108" t="b">
        <f t="shared" si="17"/>
        <v>1</v>
      </c>
      <c r="X108" t="b">
        <f t="shared" si="18"/>
        <v>1</v>
      </c>
    </row>
    <row r="109" spans="1:24">
      <c r="A109" s="88">
        <v>46266</v>
      </c>
      <c r="B109" s="74">
        <v>9</v>
      </c>
      <c r="C109" s="74" t="s">
        <v>46</v>
      </c>
      <c r="D109" s="74" t="s">
        <v>44</v>
      </c>
      <c r="E109" s="74" t="s">
        <v>14</v>
      </c>
      <c r="F109" s="85">
        <f>SUMIFS(tblSalesTargets[Target Amount],tblSalesTargets[MonthYear],A109,tblSalesTargets[Salesperson ID],C109)</f>
        <v>2354000</v>
      </c>
      <c r="G109" s="85">
        <f>SUMIFS(tblSalesTransactions[Sales Amount],tblSalesTransactions[Salesperson ID],C109,tblSalesTransactions[Date],"&gt;="&amp;A109,tblSalesTransactions[Date],"&lt;"&amp;EDATE(A109,1))</f>
        <v>342750</v>
      </c>
      <c r="H109" s="85">
        <f t="shared" si="14"/>
        <v>-2011250</v>
      </c>
      <c r="I109" s="87">
        <f t="shared" si="15"/>
        <v>0.14560322854715377</v>
      </c>
      <c r="J109" s="74" t="str">
        <f t="shared" si="16"/>
        <v>Below Target</v>
      </c>
      <c r="S109">
        <f>SUMIFS(tblSalesTargets[Target Amount],tblSalesTargets[MonthYear],A109,tblSalesTargets[Salesperson ID],C109)</f>
        <v>2354000</v>
      </c>
      <c r="T109">
        <f>SUMIFS(tblSalesTransactions[Sales Amount],tblSalesTransactions[Salesperson ID],C109,tblSalesTransactions[Date],"&gt;="&amp;A109,tblSalesTransactions[Date],"&lt;"&amp;EDATE(A109,1))</f>
        <v>342750</v>
      </c>
      <c r="U109" s="10">
        <f t="shared" si="19"/>
        <v>2354000</v>
      </c>
      <c r="V109" s="10">
        <f t="shared" si="20"/>
        <v>342750</v>
      </c>
      <c r="W109" t="b">
        <f t="shared" si="17"/>
        <v>1</v>
      </c>
      <c r="X109" t="b">
        <f t="shared" si="18"/>
        <v>1</v>
      </c>
    </row>
    <row r="110" spans="1:24">
      <c r="A110" s="88">
        <v>46266</v>
      </c>
      <c r="B110" s="74">
        <v>9</v>
      </c>
      <c r="C110" s="74" t="s">
        <v>48</v>
      </c>
      <c r="D110" s="74" t="s">
        <v>44</v>
      </c>
      <c r="E110" s="74" t="s">
        <v>14</v>
      </c>
      <c r="F110" s="85">
        <f>SUMIFS(tblSalesTargets[Target Amount],tblSalesTargets[MonthYear],A110,tblSalesTargets[Salesperson ID],C110)</f>
        <v>2140000</v>
      </c>
      <c r="G110" s="85">
        <f>SUMIFS(tblSalesTransactions[Sales Amount],tblSalesTransactions[Salesperson ID],C110,tblSalesTransactions[Date],"&gt;="&amp;A110,tblSalesTransactions[Date],"&lt;"&amp;EDATE(A110,1))</f>
        <v>355750</v>
      </c>
      <c r="H110" s="85">
        <f t="shared" si="14"/>
        <v>-1784250</v>
      </c>
      <c r="I110" s="87">
        <f t="shared" si="15"/>
        <v>0.16623831775700934</v>
      </c>
      <c r="J110" s="74" t="str">
        <f t="shared" si="16"/>
        <v>Below Target</v>
      </c>
      <c r="S110">
        <f>SUMIFS(tblSalesTargets[Target Amount],tblSalesTargets[MonthYear],A110,tblSalesTargets[Salesperson ID],C110)</f>
        <v>2140000</v>
      </c>
      <c r="T110">
        <f>SUMIFS(tblSalesTransactions[Sales Amount],tblSalesTransactions[Salesperson ID],C110,tblSalesTransactions[Date],"&gt;="&amp;A110,tblSalesTransactions[Date],"&lt;"&amp;EDATE(A110,1))</f>
        <v>355750</v>
      </c>
      <c r="U110" s="10">
        <f t="shared" si="19"/>
        <v>2140000</v>
      </c>
      <c r="V110" s="10">
        <f t="shared" si="20"/>
        <v>355750</v>
      </c>
      <c r="W110" t="b">
        <f t="shared" si="17"/>
        <v>1</v>
      </c>
      <c r="X110" t="b">
        <f t="shared" si="18"/>
        <v>1</v>
      </c>
    </row>
    <row r="111" spans="1:24">
      <c r="A111" s="88">
        <v>46266</v>
      </c>
      <c r="B111" s="74">
        <v>9</v>
      </c>
      <c r="C111" s="74" t="s">
        <v>50</v>
      </c>
      <c r="D111" s="74" t="s">
        <v>44</v>
      </c>
      <c r="E111" s="74" t="s">
        <v>14</v>
      </c>
      <c r="F111" s="85">
        <f>SUMIFS(tblSalesTargets[Target Amount],tblSalesTargets[MonthYear],A111,tblSalesTargets[Salesperson ID],C111)</f>
        <v>2033000</v>
      </c>
      <c r="G111" s="85">
        <f>SUMIFS(tblSalesTransactions[Sales Amount],tblSalesTransactions[Salesperson ID],C111,tblSalesTransactions[Date],"&gt;="&amp;A111,tblSalesTransactions[Date],"&lt;"&amp;EDATE(A111,1))</f>
        <v>329500</v>
      </c>
      <c r="H111" s="85">
        <f t="shared" si="14"/>
        <v>-1703500</v>
      </c>
      <c r="I111" s="87">
        <f t="shared" si="15"/>
        <v>0.16207575012297099</v>
      </c>
      <c r="J111" s="74" t="str">
        <f t="shared" si="16"/>
        <v>Below Target</v>
      </c>
      <c r="S111">
        <f>SUMIFS(tblSalesTargets[Target Amount],tblSalesTargets[MonthYear],A111,tblSalesTargets[Salesperson ID],C111)</f>
        <v>2033000</v>
      </c>
      <c r="T111">
        <f>SUMIFS(tblSalesTransactions[Sales Amount],tblSalesTransactions[Salesperson ID],C111,tblSalesTransactions[Date],"&gt;="&amp;A111,tblSalesTransactions[Date],"&lt;"&amp;EDATE(A111,1))</f>
        <v>329500</v>
      </c>
      <c r="U111" s="10">
        <f t="shared" si="19"/>
        <v>2033000</v>
      </c>
      <c r="V111" s="10">
        <f t="shared" si="20"/>
        <v>329500</v>
      </c>
      <c r="W111" t="b">
        <f t="shared" si="17"/>
        <v>1</v>
      </c>
      <c r="X111" t="b">
        <f t="shared" si="18"/>
        <v>1</v>
      </c>
    </row>
    <row r="112" spans="1:24">
      <c r="A112" s="88">
        <v>46296</v>
      </c>
      <c r="B112" s="74">
        <v>10</v>
      </c>
      <c r="C112" s="74" t="s">
        <v>22</v>
      </c>
      <c r="D112" s="74" t="s">
        <v>20</v>
      </c>
      <c r="E112" s="74" t="s">
        <v>4</v>
      </c>
      <c r="F112" s="85">
        <f>SUMIFS(tblSalesTargets[Target Amount],tblSalesTargets[MonthYear],A112,tblSalesTargets[Salesperson ID],C112)</f>
        <v>2750000</v>
      </c>
      <c r="G112" s="85">
        <f>SUMIFS(tblSalesTransactions[Sales Amount],tblSalesTransactions[Salesperson ID],C112,tblSalesTransactions[Date],"&gt;="&amp;A112,tblSalesTransactions[Date],"&lt;"&amp;EDATE(A112,1))</f>
        <v>298750</v>
      </c>
      <c r="H112" s="85">
        <f t="shared" si="14"/>
        <v>-2451250</v>
      </c>
      <c r="I112" s="87">
        <f t="shared" si="15"/>
        <v>0.10863636363636364</v>
      </c>
      <c r="J112" s="74" t="str">
        <f t="shared" si="16"/>
        <v>Below Target</v>
      </c>
      <c r="S112">
        <f>SUMIFS(tblSalesTargets[Target Amount],tblSalesTargets[MonthYear],A112,tblSalesTargets[Salesperson ID],C112)</f>
        <v>2750000</v>
      </c>
      <c r="T112">
        <f>SUMIFS(tblSalesTransactions[Sales Amount],tblSalesTransactions[Salesperson ID],C112,tblSalesTransactions[Date],"&gt;="&amp;A112,tblSalesTransactions[Date],"&lt;"&amp;EDATE(A112,1))</f>
        <v>298750</v>
      </c>
      <c r="U112" s="10">
        <f t="shared" si="19"/>
        <v>2750000</v>
      </c>
      <c r="V112" s="10">
        <f t="shared" si="20"/>
        <v>298750</v>
      </c>
      <c r="W112" t="b">
        <f t="shared" si="17"/>
        <v>1</v>
      </c>
      <c r="X112" t="b">
        <f t="shared" si="18"/>
        <v>1</v>
      </c>
    </row>
    <row r="113" spans="1:24">
      <c r="A113" s="88">
        <v>46296</v>
      </c>
      <c r="B113" s="74">
        <v>10</v>
      </c>
      <c r="C113" s="74" t="s">
        <v>24</v>
      </c>
      <c r="D113" s="74" t="s">
        <v>20</v>
      </c>
      <c r="E113" s="74" t="s">
        <v>4</v>
      </c>
      <c r="F113" s="85">
        <f>SUMIFS(tblSalesTargets[Target Amount],tblSalesTargets[MonthYear],A113,tblSalesTargets[Salesperson ID],C113)</f>
        <v>2530000</v>
      </c>
      <c r="G113" s="85">
        <f>SUMIFS(tblSalesTransactions[Sales Amount],tblSalesTransactions[Salesperson ID],C113,tblSalesTransactions[Date],"&gt;="&amp;A113,tblSalesTransactions[Date],"&lt;"&amp;EDATE(A113,1))</f>
        <v>355500</v>
      </c>
      <c r="H113" s="85">
        <f t="shared" si="14"/>
        <v>-2174500</v>
      </c>
      <c r="I113" s="87">
        <f t="shared" si="15"/>
        <v>0.14051383399209486</v>
      </c>
      <c r="J113" s="74" t="str">
        <f t="shared" si="16"/>
        <v>Below Target</v>
      </c>
      <c r="S113">
        <f>SUMIFS(tblSalesTargets[Target Amount],tblSalesTargets[MonthYear],A113,tblSalesTargets[Salesperson ID],C113)</f>
        <v>2530000</v>
      </c>
      <c r="T113">
        <f>SUMIFS(tblSalesTransactions[Sales Amount],tblSalesTransactions[Salesperson ID],C113,tblSalesTransactions[Date],"&gt;="&amp;A113,tblSalesTransactions[Date],"&lt;"&amp;EDATE(A113,1))</f>
        <v>355500</v>
      </c>
      <c r="U113" s="10">
        <f t="shared" si="19"/>
        <v>2530000</v>
      </c>
      <c r="V113" s="10">
        <f t="shared" si="20"/>
        <v>355500</v>
      </c>
      <c r="W113" t="b">
        <f t="shared" si="17"/>
        <v>1</v>
      </c>
      <c r="X113" t="b">
        <f t="shared" si="18"/>
        <v>1</v>
      </c>
    </row>
    <row r="114" spans="1:24">
      <c r="A114" s="88">
        <v>46296</v>
      </c>
      <c r="B114" s="74">
        <v>10</v>
      </c>
      <c r="C114" s="74" t="s">
        <v>26</v>
      </c>
      <c r="D114" s="74" t="s">
        <v>20</v>
      </c>
      <c r="E114" s="74" t="s">
        <v>4</v>
      </c>
      <c r="F114" s="85">
        <f>SUMIFS(tblSalesTargets[Target Amount],tblSalesTargets[MonthYear],A114,tblSalesTargets[Salesperson ID],C114)</f>
        <v>2420000</v>
      </c>
      <c r="G114" s="85">
        <f>SUMIFS(tblSalesTransactions[Sales Amount],tblSalesTransactions[Salesperson ID],C114,tblSalesTransactions[Date],"&gt;="&amp;A114,tblSalesTransactions[Date],"&lt;"&amp;EDATE(A114,1))</f>
        <v>310500</v>
      </c>
      <c r="H114" s="85">
        <f t="shared" si="14"/>
        <v>-2109500</v>
      </c>
      <c r="I114" s="87">
        <f t="shared" si="15"/>
        <v>0.12830578512396695</v>
      </c>
      <c r="J114" s="74" t="str">
        <f t="shared" si="16"/>
        <v>Below Target</v>
      </c>
      <c r="S114">
        <f>SUMIFS(tblSalesTargets[Target Amount],tblSalesTargets[MonthYear],A114,tblSalesTargets[Salesperson ID],C114)</f>
        <v>2420000</v>
      </c>
      <c r="T114">
        <f>SUMIFS(tblSalesTransactions[Sales Amount],tblSalesTransactions[Salesperson ID],C114,tblSalesTransactions[Date],"&gt;="&amp;A114,tblSalesTransactions[Date],"&lt;"&amp;EDATE(A114,1))</f>
        <v>310500</v>
      </c>
      <c r="U114" s="10">
        <f t="shared" si="19"/>
        <v>2420000</v>
      </c>
      <c r="V114" s="10">
        <f t="shared" si="20"/>
        <v>310500</v>
      </c>
      <c r="W114" t="b">
        <f t="shared" si="17"/>
        <v>1</v>
      </c>
      <c r="X114" t="b">
        <f t="shared" si="18"/>
        <v>1</v>
      </c>
    </row>
    <row r="115" spans="1:24">
      <c r="A115" s="88">
        <v>46296</v>
      </c>
      <c r="B115" s="74">
        <v>10</v>
      </c>
      <c r="C115" s="74" t="s">
        <v>30</v>
      </c>
      <c r="D115" s="74" t="s">
        <v>28</v>
      </c>
      <c r="E115" s="74" t="s">
        <v>8</v>
      </c>
      <c r="F115" s="85">
        <f>SUMIFS(tblSalesTargets[Target Amount],tblSalesTargets[MonthYear],A115,tblSalesTargets[Salesperson ID],C115)</f>
        <v>2970000</v>
      </c>
      <c r="G115" s="85">
        <f>SUMIFS(tblSalesTransactions[Sales Amount],tblSalesTransactions[Salesperson ID],C115,tblSalesTransactions[Date],"&gt;="&amp;A115,tblSalesTransactions[Date],"&lt;"&amp;EDATE(A115,1))</f>
        <v>585000</v>
      </c>
      <c r="H115" s="85">
        <f t="shared" si="14"/>
        <v>-2385000</v>
      </c>
      <c r="I115" s="87">
        <f t="shared" si="15"/>
        <v>0.19696969696969696</v>
      </c>
      <c r="J115" s="74" t="str">
        <f t="shared" si="16"/>
        <v>Below Target</v>
      </c>
      <c r="S115">
        <f>SUMIFS(tblSalesTargets[Target Amount],tblSalesTargets[MonthYear],A115,tblSalesTargets[Salesperson ID],C115)</f>
        <v>2970000</v>
      </c>
      <c r="T115">
        <f>SUMIFS(tblSalesTransactions[Sales Amount],tblSalesTransactions[Salesperson ID],C115,tblSalesTransactions[Date],"&gt;="&amp;A115,tblSalesTransactions[Date],"&lt;"&amp;EDATE(A115,1))</f>
        <v>585000</v>
      </c>
      <c r="U115" s="10">
        <f t="shared" si="19"/>
        <v>2970000</v>
      </c>
      <c r="V115" s="10">
        <f t="shared" si="20"/>
        <v>585000</v>
      </c>
      <c r="W115" t="b">
        <f t="shared" si="17"/>
        <v>1</v>
      </c>
      <c r="X115" t="b">
        <f t="shared" si="18"/>
        <v>1</v>
      </c>
    </row>
    <row r="116" spans="1:24">
      <c r="A116" s="88">
        <v>46296</v>
      </c>
      <c r="B116" s="74">
        <v>10</v>
      </c>
      <c r="C116" s="74" t="s">
        <v>32</v>
      </c>
      <c r="D116" s="74" t="s">
        <v>28</v>
      </c>
      <c r="E116" s="74" t="s">
        <v>8</v>
      </c>
      <c r="F116" s="85">
        <f>SUMIFS(tblSalesTargets[Target Amount],tblSalesTargets[MonthYear],A116,tblSalesTargets[Salesperson ID],C116)</f>
        <v>2750000</v>
      </c>
      <c r="G116" s="85">
        <f>SUMIFS(tblSalesTransactions[Sales Amount],tblSalesTransactions[Salesperson ID],C116,tblSalesTransactions[Date],"&gt;="&amp;A116,tblSalesTransactions[Date],"&lt;"&amp;EDATE(A116,1))</f>
        <v>658500</v>
      </c>
      <c r="H116" s="85">
        <f t="shared" si="14"/>
        <v>-2091500</v>
      </c>
      <c r="I116" s="87">
        <f t="shared" si="15"/>
        <v>0.23945454545454545</v>
      </c>
      <c r="J116" s="74" t="str">
        <f t="shared" si="16"/>
        <v>Below Target</v>
      </c>
      <c r="S116">
        <f>SUMIFS(tblSalesTargets[Target Amount],tblSalesTargets[MonthYear],A116,tblSalesTargets[Salesperson ID],C116)</f>
        <v>2750000</v>
      </c>
      <c r="T116">
        <f>SUMIFS(tblSalesTransactions[Sales Amount],tblSalesTransactions[Salesperson ID],C116,tblSalesTransactions[Date],"&gt;="&amp;A116,tblSalesTransactions[Date],"&lt;"&amp;EDATE(A116,1))</f>
        <v>658500</v>
      </c>
      <c r="U116" s="10">
        <f t="shared" si="19"/>
        <v>2750000</v>
      </c>
      <c r="V116" s="10">
        <f t="shared" si="20"/>
        <v>658500</v>
      </c>
      <c r="W116" t="b">
        <f t="shared" si="17"/>
        <v>1</v>
      </c>
      <c r="X116" t="b">
        <f t="shared" si="18"/>
        <v>1</v>
      </c>
    </row>
    <row r="117" spans="1:24">
      <c r="A117" s="88">
        <v>46296</v>
      </c>
      <c r="B117" s="74">
        <v>10</v>
      </c>
      <c r="C117" s="74" t="s">
        <v>34</v>
      </c>
      <c r="D117" s="74" t="s">
        <v>28</v>
      </c>
      <c r="E117" s="74" t="s">
        <v>8</v>
      </c>
      <c r="F117" s="85">
        <f>SUMIFS(tblSalesTargets[Target Amount],tblSalesTargets[MonthYear],A117,tblSalesTargets[Salesperson ID],C117)</f>
        <v>2530000</v>
      </c>
      <c r="G117" s="85">
        <f>SUMIFS(tblSalesTransactions[Sales Amount],tblSalesTransactions[Salesperson ID],C117,tblSalesTransactions[Date],"&gt;="&amp;A117,tblSalesTransactions[Date],"&lt;"&amp;EDATE(A117,1))</f>
        <v>376500</v>
      </c>
      <c r="H117" s="85">
        <f t="shared" si="14"/>
        <v>-2153500</v>
      </c>
      <c r="I117" s="87">
        <f t="shared" si="15"/>
        <v>0.14881422924901186</v>
      </c>
      <c r="J117" s="74" t="str">
        <f t="shared" si="16"/>
        <v>Below Target</v>
      </c>
      <c r="S117">
        <f>SUMIFS(tblSalesTargets[Target Amount],tblSalesTargets[MonthYear],A117,tblSalesTargets[Salesperson ID],C117)</f>
        <v>2530000</v>
      </c>
      <c r="T117">
        <f>SUMIFS(tblSalesTransactions[Sales Amount],tblSalesTransactions[Salesperson ID],C117,tblSalesTransactions[Date],"&gt;="&amp;A117,tblSalesTransactions[Date],"&lt;"&amp;EDATE(A117,1))</f>
        <v>376500</v>
      </c>
      <c r="U117" s="10">
        <f t="shared" si="19"/>
        <v>2530000</v>
      </c>
      <c r="V117" s="10">
        <f t="shared" si="20"/>
        <v>376500</v>
      </c>
      <c r="W117" t="b">
        <f t="shared" si="17"/>
        <v>1</v>
      </c>
      <c r="X117" t="b">
        <f t="shared" si="18"/>
        <v>1</v>
      </c>
    </row>
    <row r="118" spans="1:24">
      <c r="A118" s="88">
        <v>46296</v>
      </c>
      <c r="B118" s="74">
        <v>10</v>
      </c>
      <c r="C118" s="74" t="s">
        <v>38</v>
      </c>
      <c r="D118" s="74" t="s">
        <v>36</v>
      </c>
      <c r="E118" s="74" t="s">
        <v>11</v>
      </c>
      <c r="F118" s="85">
        <f>SUMIFS(tblSalesTargets[Target Amount],tblSalesTargets[MonthYear],A118,tblSalesTargets[Salesperson ID],C118)</f>
        <v>2640000</v>
      </c>
      <c r="G118" s="85">
        <f>SUMIFS(tblSalesTransactions[Sales Amount],tblSalesTransactions[Salesperson ID],C118,tblSalesTransactions[Date],"&gt;="&amp;A118,tblSalesTransactions[Date],"&lt;"&amp;EDATE(A118,1))</f>
        <v>679500</v>
      </c>
      <c r="H118" s="85">
        <f t="shared" si="14"/>
        <v>-1960500</v>
      </c>
      <c r="I118" s="87">
        <f t="shared" si="15"/>
        <v>0.25738636363636364</v>
      </c>
      <c r="J118" s="74" t="str">
        <f t="shared" si="16"/>
        <v>Below Target</v>
      </c>
      <c r="S118">
        <f>SUMIFS(tblSalesTargets[Target Amount],tblSalesTargets[MonthYear],A118,tblSalesTargets[Salesperson ID],C118)</f>
        <v>2640000</v>
      </c>
      <c r="T118">
        <f>SUMIFS(tblSalesTransactions[Sales Amount],tblSalesTransactions[Salesperson ID],C118,tblSalesTransactions[Date],"&gt;="&amp;A118,tblSalesTransactions[Date],"&lt;"&amp;EDATE(A118,1))</f>
        <v>679500</v>
      </c>
      <c r="U118" s="10">
        <f t="shared" si="19"/>
        <v>2640000</v>
      </c>
      <c r="V118" s="10">
        <f t="shared" si="20"/>
        <v>679500</v>
      </c>
      <c r="W118" t="b">
        <f t="shared" si="17"/>
        <v>1</v>
      </c>
      <c r="X118" t="b">
        <f t="shared" si="18"/>
        <v>1</v>
      </c>
    </row>
    <row r="119" spans="1:24">
      <c r="A119" s="88">
        <v>46296</v>
      </c>
      <c r="B119" s="74">
        <v>10</v>
      </c>
      <c r="C119" s="74" t="s">
        <v>40</v>
      </c>
      <c r="D119" s="74" t="s">
        <v>36</v>
      </c>
      <c r="E119" s="74" t="s">
        <v>11</v>
      </c>
      <c r="F119" s="85">
        <f>SUMIFS(tblSalesTargets[Target Amount],tblSalesTargets[MonthYear],A119,tblSalesTargets[Salesperson ID],C119)</f>
        <v>2420000</v>
      </c>
      <c r="G119" s="85">
        <f>SUMIFS(tblSalesTransactions[Sales Amount],tblSalesTransactions[Salesperson ID],C119,tblSalesTransactions[Date],"&gt;="&amp;A119,tblSalesTransactions[Date],"&lt;"&amp;EDATE(A119,1))</f>
        <v>703500</v>
      </c>
      <c r="H119" s="85">
        <f t="shared" si="14"/>
        <v>-1716500</v>
      </c>
      <c r="I119" s="87">
        <f t="shared" si="15"/>
        <v>0.29070247933884297</v>
      </c>
      <c r="J119" s="74" t="str">
        <f t="shared" si="16"/>
        <v>Below Target</v>
      </c>
      <c r="S119">
        <f>SUMIFS(tblSalesTargets[Target Amount],tblSalesTargets[MonthYear],A119,tblSalesTargets[Salesperson ID],C119)</f>
        <v>2420000</v>
      </c>
      <c r="T119">
        <f>SUMIFS(tblSalesTransactions[Sales Amount],tblSalesTransactions[Salesperson ID],C119,tblSalesTransactions[Date],"&gt;="&amp;A119,tblSalesTransactions[Date],"&lt;"&amp;EDATE(A119,1))</f>
        <v>703500</v>
      </c>
      <c r="U119" s="10">
        <f t="shared" si="19"/>
        <v>2420000</v>
      </c>
      <c r="V119" s="10">
        <f t="shared" si="20"/>
        <v>703500</v>
      </c>
      <c r="W119" t="b">
        <f t="shared" si="17"/>
        <v>1</v>
      </c>
      <c r="X119" t="b">
        <f t="shared" si="18"/>
        <v>1</v>
      </c>
    </row>
    <row r="120" spans="1:24">
      <c r="A120" s="88">
        <v>46296</v>
      </c>
      <c r="B120" s="74">
        <v>10</v>
      </c>
      <c r="C120" s="74" t="s">
        <v>42</v>
      </c>
      <c r="D120" s="74" t="s">
        <v>36</v>
      </c>
      <c r="E120" s="74" t="s">
        <v>11</v>
      </c>
      <c r="F120" s="85">
        <f>SUMIFS(tblSalesTargets[Target Amount],tblSalesTargets[MonthYear],A120,tblSalesTargets[Salesperson ID],C120)</f>
        <v>2310000</v>
      </c>
      <c r="G120" s="85">
        <f>SUMIFS(tblSalesTransactions[Sales Amount],tblSalesTransactions[Salesperson ID],C120,tblSalesTransactions[Date],"&gt;="&amp;A120,tblSalesTransactions[Date],"&lt;"&amp;EDATE(A120,1))</f>
        <v>388500</v>
      </c>
      <c r="H120" s="85">
        <f t="shared" si="14"/>
        <v>-1921500</v>
      </c>
      <c r="I120" s="87">
        <f t="shared" si="15"/>
        <v>0.16818181818181818</v>
      </c>
      <c r="J120" s="74" t="str">
        <f t="shared" si="16"/>
        <v>Below Target</v>
      </c>
      <c r="S120">
        <f>SUMIFS(tblSalesTargets[Target Amount],tblSalesTargets[MonthYear],A120,tblSalesTargets[Salesperson ID],C120)</f>
        <v>2310000</v>
      </c>
      <c r="T120">
        <f>SUMIFS(tblSalesTransactions[Sales Amount],tblSalesTransactions[Salesperson ID],C120,tblSalesTransactions[Date],"&gt;="&amp;A120,tblSalesTransactions[Date],"&lt;"&amp;EDATE(A120,1))</f>
        <v>388500</v>
      </c>
      <c r="U120" s="10">
        <f t="shared" si="19"/>
        <v>2310000</v>
      </c>
      <c r="V120" s="10">
        <f t="shared" si="20"/>
        <v>388500</v>
      </c>
      <c r="W120" t="b">
        <f t="shared" si="17"/>
        <v>1</v>
      </c>
      <c r="X120" t="b">
        <f t="shared" si="18"/>
        <v>1</v>
      </c>
    </row>
    <row r="121" spans="1:24">
      <c r="A121" s="88">
        <v>46296</v>
      </c>
      <c r="B121" s="74">
        <v>10</v>
      </c>
      <c r="C121" s="74" t="s">
        <v>46</v>
      </c>
      <c r="D121" s="74" t="s">
        <v>44</v>
      </c>
      <c r="E121" s="74" t="s">
        <v>14</v>
      </c>
      <c r="F121" s="85">
        <f>SUMIFS(tblSalesTargets[Target Amount],tblSalesTargets[MonthYear],A121,tblSalesTargets[Salesperson ID],C121)</f>
        <v>2420000</v>
      </c>
      <c r="G121" s="85">
        <f>SUMIFS(tblSalesTransactions[Sales Amount],tblSalesTransactions[Salesperson ID],C121,tblSalesTransactions[Date],"&gt;="&amp;A121,tblSalesTransactions[Date],"&lt;"&amp;EDATE(A121,1))</f>
        <v>367750</v>
      </c>
      <c r="H121" s="85">
        <f t="shared" si="14"/>
        <v>-2052250</v>
      </c>
      <c r="I121" s="87">
        <f t="shared" si="15"/>
        <v>0.15196280991735536</v>
      </c>
      <c r="J121" s="74" t="str">
        <f t="shared" si="16"/>
        <v>Below Target</v>
      </c>
      <c r="S121">
        <f>SUMIFS(tblSalesTargets[Target Amount],tblSalesTargets[MonthYear],A121,tblSalesTargets[Salesperson ID],C121)</f>
        <v>2420000</v>
      </c>
      <c r="T121">
        <f>SUMIFS(tblSalesTransactions[Sales Amount],tblSalesTransactions[Salesperson ID],C121,tblSalesTransactions[Date],"&gt;="&amp;A121,tblSalesTransactions[Date],"&lt;"&amp;EDATE(A121,1))</f>
        <v>367750</v>
      </c>
      <c r="U121" s="10">
        <f t="shared" si="19"/>
        <v>2420000</v>
      </c>
      <c r="V121" s="10">
        <f t="shared" si="20"/>
        <v>367750</v>
      </c>
      <c r="W121" t="b">
        <f t="shared" si="17"/>
        <v>1</v>
      </c>
      <c r="X121" t="b">
        <f t="shared" si="18"/>
        <v>1</v>
      </c>
    </row>
    <row r="122" spans="1:24">
      <c r="A122" s="88">
        <v>46296</v>
      </c>
      <c r="B122" s="74">
        <v>10</v>
      </c>
      <c r="C122" s="74" t="s">
        <v>48</v>
      </c>
      <c r="D122" s="74" t="s">
        <v>44</v>
      </c>
      <c r="E122" s="74" t="s">
        <v>14</v>
      </c>
      <c r="F122" s="85">
        <f>SUMIFS(tblSalesTargets[Target Amount],tblSalesTargets[MonthYear],A122,tblSalesTargets[Salesperson ID],C122)</f>
        <v>2200000</v>
      </c>
      <c r="G122" s="85">
        <f>SUMIFS(tblSalesTransactions[Sales Amount],tblSalesTransactions[Salesperson ID],C122,tblSalesTransactions[Date],"&gt;="&amp;A122,tblSalesTransactions[Date],"&lt;"&amp;EDATE(A122,1))</f>
        <v>380250</v>
      </c>
      <c r="H122" s="85">
        <f t="shared" si="14"/>
        <v>-1819750</v>
      </c>
      <c r="I122" s="87">
        <f t="shared" si="15"/>
        <v>0.1728409090909091</v>
      </c>
      <c r="J122" s="74" t="str">
        <f t="shared" si="16"/>
        <v>Below Target</v>
      </c>
      <c r="S122">
        <f>SUMIFS(tblSalesTargets[Target Amount],tblSalesTargets[MonthYear],A122,tblSalesTargets[Salesperson ID],C122)</f>
        <v>2200000</v>
      </c>
      <c r="T122">
        <f>SUMIFS(tblSalesTransactions[Sales Amount],tblSalesTransactions[Salesperson ID],C122,tblSalesTransactions[Date],"&gt;="&amp;A122,tblSalesTransactions[Date],"&lt;"&amp;EDATE(A122,1))</f>
        <v>380250</v>
      </c>
      <c r="U122" s="10">
        <f t="shared" si="19"/>
        <v>2200000</v>
      </c>
      <c r="V122" s="10">
        <f t="shared" si="20"/>
        <v>380250</v>
      </c>
      <c r="W122" t="b">
        <f t="shared" si="17"/>
        <v>1</v>
      </c>
      <c r="X122" t="b">
        <f t="shared" si="18"/>
        <v>1</v>
      </c>
    </row>
    <row r="123" spans="1:24">
      <c r="A123" s="88">
        <v>46296</v>
      </c>
      <c r="B123" s="74">
        <v>10</v>
      </c>
      <c r="C123" s="74" t="s">
        <v>50</v>
      </c>
      <c r="D123" s="74" t="s">
        <v>44</v>
      </c>
      <c r="E123" s="74" t="s">
        <v>14</v>
      </c>
      <c r="F123" s="85">
        <f>SUMIFS(tblSalesTargets[Target Amount],tblSalesTargets[MonthYear],A123,tblSalesTargets[Salesperson ID],C123)</f>
        <v>2090000</v>
      </c>
      <c r="G123" s="85">
        <f>SUMIFS(tblSalesTransactions[Sales Amount],tblSalesTransactions[Salesperson ID],C123,tblSalesTransactions[Date],"&gt;="&amp;A123,tblSalesTransactions[Date],"&lt;"&amp;EDATE(A123,1))</f>
        <v>354000</v>
      </c>
      <c r="H123" s="85">
        <f t="shared" si="14"/>
        <v>-1736000</v>
      </c>
      <c r="I123" s="87">
        <f t="shared" si="15"/>
        <v>0.16937799043062202</v>
      </c>
      <c r="J123" s="74" t="str">
        <f t="shared" si="16"/>
        <v>Below Target</v>
      </c>
      <c r="S123">
        <f>SUMIFS(tblSalesTargets[Target Amount],tblSalesTargets[MonthYear],A123,tblSalesTargets[Salesperson ID],C123)</f>
        <v>2090000</v>
      </c>
      <c r="T123">
        <f>SUMIFS(tblSalesTransactions[Sales Amount],tblSalesTransactions[Salesperson ID],C123,tblSalesTransactions[Date],"&gt;="&amp;A123,tblSalesTransactions[Date],"&lt;"&amp;EDATE(A123,1))</f>
        <v>354000</v>
      </c>
      <c r="U123" s="10">
        <f t="shared" si="19"/>
        <v>2090000</v>
      </c>
      <c r="V123" s="10">
        <f t="shared" si="20"/>
        <v>354000</v>
      </c>
      <c r="W123" t="b">
        <f t="shared" si="17"/>
        <v>1</v>
      </c>
      <c r="X123" t="b">
        <f t="shared" si="18"/>
        <v>1</v>
      </c>
    </row>
    <row r="124" spans="1:24">
      <c r="A124" s="88">
        <v>46327</v>
      </c>
      <c r="B124" s="74">
        <v>11</v>
      </c>
      <c r="C124" s="74" t="s">
        <v>22</v>
      </c>
      <c r="D124" s="74" t="s">
        <v>20</v>
      </c>
      <c r="E124" s="74" t="s">
        <v>4</v>
      </c>
      <c r="F124" s="85">
        <f>SUMIFS(tblSalesTargets[Target Amount],tblSalesTargets[MonthYear],A124,tblSalesTargets[Salesperson ID],C124)</f>
        <v>2800000</v>
      </c>
      <c r="G124" s="85">
        <f>SUMIFS(tblSalesTransactions[Sales Amount],tblSalesTransactions[Salesperson ID],C124,tblSalesTransactions[Date],"&gt;="&amp;A124,tblSalesTransactions[Date],"&lt;"&amp;EDATE(A124,1))</f>
        <v>316750</v>
      </c>
      <c r="H124" s="85">
        <f t="shared" si="14"/>
        <v>-2483250</v>
      </c>
      <c r="I124" s="87">
        <f t="shared" si="15"/>
        <v>0.113125</v>
      </c>
      <c r="J124" s="74" t="str">
        <f t="shared" si="16"/>
        <v>Below Target</v>
      </c>
      <c r="S124">
        <f>SUMIFS(tblSalesTargets[Target Amount],tblSalesTargets[MonthYear],A124,tblSalesTargets[Salesperson ID],C124)</f>
        <v>2800000</v>
      </c>
      <c r="T124">
        <f>SUMIFS(tblSalesTransactions[Sales Amount],tblSalesTransactions[Salesperson ID],C124,tblSalesTransactions[Date],"&gt;="&amp;A124,tblSalesTransactions[Date],"&lt;"&amp;EDATE(A124,1))</f>
        <v>316750</v>
      </c>
      <c r="U124" s="10">
        <f t="shared" si="19"/>
        <v>2800000</v>
      </c>
      <c r="V124" s="10">
        <f t="shared" si="20"/>
        <v>316750</v>
      </c>
      <c r="W124" t="b">
        <f t="shared" si="17"/>
        <v>1</v>
      </c>
      <c r="X124" t="b">
        <f t="shared" si="18"/>
        <v>1</v>
      </c>
    </row>
    <row r="125" spans="1:24">
      <c r="A125" s="88">
        <v>46327</v>
      </c>
      <c r="B125" s="74">
        <v>11</v>
      </c>
      <c r="C125" s="74" t="s">
        <v>24</v>
      </c>
      <c r="D125" s="74" t="s">
        <v>20</v>
      </c>
      <c r="E125" s="74" t="s">
        <v>4</v>
      </c>
      <c r="F125" s="85">
        <f>SUMIFS(tblSalesTargets[Target Amount],tblSalesTargets[MonthYear],A125,tblSalesTargets[Salesperson ID],C125)</f>
        <v>2576000</v>
      </c>
      <c r="G125" s="85">
        <f>SUMIFS(tblSalesTransactions[Sales Amount],tblSalesTransactions[Salesperson ID],C125,tblSalesTransactions[Date],"&gt;="&amp;A125,tblSalesTransactions[Date],"&lt;"&amp;EDATE(A125,1))</f>
        <v>451500</v>
      </c>
      <c r="H125" s="85">
        <f t="shared" si="14"/>
        <v>-2124500</v>
      </c>
      <c r="I125" s="87">
        <f t="shared" si="15"/>
        <v>0.17527173913043478</v>
      </c>
      <c r="J125" s="74" t="str">
        <f t="shared" si="16"/>
        <v>Below Target</v>
      </c>
      <c r="S125">
        <f>SUMIFS(tblSalesTargets[Target Amount],tblSalesTargets[MonthYear],A125,tblSalesTargets[Salesperson ID],C125)</f>
        <v>2576000</v>
      </c>
      <c r="T125">
        <f>SUMIFS(tblSalesTransactions[Sales Amount],tblSalesTransactions[Salesperson ID],C125,tblSalesTransactions[Date],"&gt;="&amp;A125,tblSalesTransactions[Date],"&lt;"&amp;EDATE(A125,1))</f>
        <v>451500</v>
      </c>
      <c r="U125" s="10">
        <f t="shared" si="19"/>
        <v>2576000</v>
      </c>
      <c r="V125" s="10">
        <f t="shared" si="20"/>
        <v>451500</v>
      </c>
      <c r="W125" t="b">
        <f t="shared" si="17"/>
        <v>1</v>
      </c>
      <c r="X125" t="b">
        <f t="shared" si="18"/>
        <v>1</v>
      </c>
    </row>
    <row r="126" spans="1:24">
      <c r="A126" s="88">
        <v>46327</v>
      </c>
      <c r="B126" s="74">
        <v>11</v>
      </c>
      <c r="C126" s="74" t="s">
        <v>26</v>
      </c>
      <c r="D126" s="74" t="s">
        <v>20</v>
      </c>
      <c r="E126" s="74" t="s">
        <v>4</v>
      </c>
      <c r="F126" s="85">
        <f>SUMIFS(tblSalesTargets[Target Amount],tblSalesTargets[MonthYear],A126,tblSalesTargets[Salesperson ID],C126)</f>
        <v>2464000</v>
      </c>
      <c r="G126" s="85">
        <f>SUMIFS(tblSalesTransactions[Sales Amount],tblSalesTransactions[Salesperson ID],C126,tblSalesTransactions[Date],"&gt;="&amp;A126,tblSalesTransactions[Date],"&lt;"&amp;EDATE(A126,1))</f>
        <v>416500</v>
      </c>
      <c r="H126" s="85">
        <f t="shared" si="14"/>
        <v>-2047500</v>
      </c>
      <c r="I126" s="87">
        <f t="shared" si="15"/>
        <v>0.16903409090909091</v>
      </c>
      <c r="J126" s="74" t="str">
        <f t="shared" si="16"/>
        <v>Below Target</v>
      </c>
      <c r="S126">
        <f>SUMIFS(tblSalesTargets[Target Amount],tblSalesTargets[MonthYear],A126,tblSalesTargets[Salesperson ID],C126)</f>
        <v>2464000</v>
      </c>
      <c r="T126">
        <f>SUMIFS(tblSalesTransactions[Sales Amount],tblSalesTransactions[Salesperson ID],C126,tblSalesTransactions[Date],"&gt;="&amp;A126,tblSalesTransactions[Date],"&lt;"&amp;EDATE(A126,1))</f>
        <v>416500</v>
      </c>
      <c r="U126" s="10">
        <f t="shared" si="19"/>
        <v>2464000</v>
      </c>
      <c r="V126" s="10">
        <f t="shared" si="20"/>
        <v>416500</v>
      </c>
      <c r="W126" t="b">
        <f t="shared" si="17"/>
        <v>1</v>
      </c>
      <c r="X126" t="b">
        <f t="shared" si="18"/>
        <v>1</v>
      </c>
    </row>
    <row r="127" spans="1:24">
      <c r="A127" s="88">
        <v>46327</v>
      </c>
      <c r="B127" s="74">
        <v>11</v>
      </c>
      <c r="C127" s="74" t="s">
        <v>30</v>
      </c>
      <c r="D127" s="74" t="s">
        <v>28</v>
      </c>
      <c r="E127" s="74" t="s">
        <v>8</v>
      </c>
      <c r="F127" s="85">
        <f>SUMIFS(tblSalesTargets[Target Amount],tblSalesTargets[MonthYear],A127,tblSalesTargets[Salesperson ID],C127)</f>
        <v>3024000</v>
      </c>
      <c r="G127" s="85">
        <f>SUMIFS(tblSalesTransactions[Sales Amount],tblSalesTransactions[Salesperson ID],C127,tblSalesTransactions[Date],"&gt;="&amp;A127,tblSalesTransactions[Date],"&lt;"&amp;EDATE(A127,1))</f>
        <v>588000</v>
      </c>
      <c r="H127" s="85">
        <f t="shared" si="14"/>
        <v>-2436000</v>
      </c>
      <c r="I127" s="87">
        <f t="shared" si="15"/>
        <v>0.19444444444444445</v>
      </c>
      <c r="J127" s="74" t="str">
        <f t="shared" si="16"/>
        <v>Below Target</v>
      </c>
      <c r="S127">
        <f>SUMIFS(tblSalesTargets[Target Amount],tblSalesTargets[MonthYear],A127,tblSalesTargets[Salesperson ID],C127)</f>
        <v>3024000</v>
      </c>
      <c r="T127">
        <f>SUMIFS(tblSalesTransactions[Sales Amount],tblSalesTransactions[Salesperson ID],C127,tblSalesTransactions[Date],"&gt;="&amp;A127,tblSalesTransactions[Date],"&lt;"&amp;EDATE(A127,1))</f>
        <v>588000</v>
      </c>
      <c r="U127" s="10">
        <f t="shared" si="19"/>
        <v>3024000</v>
      </c>
      <c r="V127" s="10">
        <f t="shared" si="20"/>
        <v>588000</v>
      </c>
      <c r="W127" t="b">
        <f t="shared" si="17"/>
        <v>1</v>
      </c>
      <c r="X127" t="b">
        <f t="shared" si="18"/>
        <v>1</v>
      </c>
    </row>
    <row r="128" spans="1:24">
      <c r="A128" s="88">
        <v>46327</v>
      </c>
      <c r="B128" s="74">
        <v>11</v>
      </c>
      <c r="C128" s="74" t="s">
        <v>32</v>
      </c>
      <c r="D128" s="74" t="s">
        <v>28</v>
      </c>
      <c r="E128" s="74" t="s">
        <v>8</v>
      </c>
      <c r="F128" s="85">
        <f>SUMIFS(tblSalesTargets[Target Amount],tblSalesTargets[MonthYear],A128,tblSalesTargets[Salesperson ID],C128)</f>
        <v>2800000</v>
      </c>
      <c r="G128" s="85">
        <f>SUMIFS(tblSalesTransactions[Sales Amount],tblSalesTransactions[Salesperson ID],C128,tblSalesTransactions[Date],"&gt;="&amp;A128,tblSalesTransactions[Date],"&lt;"&amp;EDATE(A128,1))</f>
        <v>561000</v>
      </c>
      <c r="H128" s="85">
        <f t="shared" si="14"/>
        <v>-2239000</v>
      </c>
      <c r="I128" s="87">
        <f t="shared" si="15"/>
        <v>0.20035714285714284</v>
      </c>
      <c r="J128" s="74" t="str">
        <f t="shared" si="16"/>
        <v>Below Target</v>
      </c>
      <c r="S128">
        <f>SUMIFS(tblSalesTargets[Target Amount],tblSalesTargets[MonthYear],A128,tblSalesTargets[Salesperson ID],C128)</f>
        <v>2800000</v>
      </c>
      <c r="T128">
        <f>SUMIFS(tblSalesTransactions[Sales Amount],tblSalesTransactions[Salesperson ID],C128,tblSalesTransactions[Date],"&gt;="&amp;A128,tblSalesTransactions[Date],"&lt;"&amp;EDATE(A128,1))</f>
        <v>561000</v>
      </c>
      <c r="U128" s="10">
        <f t="shared" si="19"/>
        <v>2800000</v>
      </c>
      <c r="V128" s="10">
        <f t="shared" si="20"/>
        <v>561000</v>
      </c>
      <c r="W128" t="b">
        <f t="shared" si="17"/>
        <v>1</v>
      </c>
      <c r="X128" t="b">
        <f t="shared" si="18"/>
        <v>1</v>
      </c>
    </row>
    <row r="129" spans="1:24">
      <c r="A129" s="88">
        <v>46327</v>
      </c>
      <c r="B129" s="74">
        <v>11</v>
      </c>
      <c r="C129" s="74" t="s">
        <v>34</v>
      </c>
      <c r="D129" s="74" t="s">
        <v>28</v>
      </c>
      <c r="E129" s="74" t="s">
        <v>8</v>
      </c>
      <c r="F129" s="85">
        <f>SUMIFS(tblSalesTargets[Target Amount],tblSalesTargets[MonthYear],A129,tblSalesTargets[Salesperson ID],C129)</f>
        <v>2576000</v>
      </c>
      <c r="G129" s="85">
        <f>SUMIFS(tblSalesTransactions[Sales Amount],tblSalesTransactions[Salesperson ID],C129,tblSalesTransactions[Date],"&gt;="&amp;A129,tblSalesTransactions[Date],"&lt;"&amp;EDATE(A129,1))</f>
        <v>582500</v>
      </c>
      <c r="H129" s="85">
        <f t="shared" si="14"/>
        <v>-1993500</v>
      </c>
      <c r="I129" s="87">
        <f t="shared" si="15"/>
        <v>0.22612577639751552</v>
      </c>
      <c r="J129" s="74" t="str">
        <f t="shared" si="16"/>
        <v>Below Target</v>
      </c>
      <c r="S129">
        <f>SUMIFS(tblSalesTargets[Target Amount],tblSalesTargets[MonthYear],A129,tblSalesTargets[Salesperson ID],C129)</f>
        <v>2576000</v>
      </c>
      <c r="T129">
        <f>SUMIFS(tblSalesTransactions[Sales Amount],tblSalesTransactions[Salesperson ID],C129,tblSalesTransactions[Date],"&gt;="&amp;A129,tblSalesTransactions[Date],"&lt;"&amp;EDATE(A129,1))</f>
        <v>582500</v>
      </c>
      <c r="U129" s="10">
        <f t="shared" si="19"/>
        <v>2576000</v>
      </c>
      <c r="V129" s="10">
        <f t="shared" si="20"/>
        <v>582500</v>
      </c>
      <c r="W129" t="b">
        <f t="shared" si="17"/>
        <v>1</v>
      </c>
      <c r="X129" t="b">
        <f t="shared" si="18"/>
        <v>1</v>
      </c>
    </row>
    <row r="130" spans="1:24">
      <c r="A130" s="88">
        <v>46327</v>
      </c>
      <c r="B130" s="74">
        <v>11</v>
      </c>
      <c r="C130" s="74" t="s">
        <v>38</v>
      </c>
      <c r="D130" s="74" t="s">
        <v>36</v>
      </c>
      <c r="E130" s="74" t="s">
        <v>11</v>
      </c>
      <c r="F130" s="85">
        <f>SUMIFS(tblSalesTargets[Target Amount],tblSalesTargets[MonthYear],A130,tblSalesTargets[Salesperson ID],C130)</f>
        <v>2688000</v>
      </c>
      <c r="G130" s="85">
        <f>SUMIFS(tblSalesTransactions[Sales Amount],tblSalesTransactions[Salesperson ID],C130,tblSalesTransactions[Date],"&gt;="&amp;A130,tblSalesTransactions[Date],"&lt;"&amp;EDATE(A130,1))</f>
        <v>660000</v>
      </c>
      <c r="H130" s="85">
        <f t="shared" si="14"/>
        <v>-2028000</v>
      </c>
      <c r="I130" s="87">
        <f t="shared" si="15"/>
        <v>0.24553571428571427</v>
      </c>
      <c r="J130" s="74" t="str">
        <f t="shared" si="16"/>
        <v>Below Target</v>
      </c>
      <c r="S130">
        <f>SUMIFS(tblSalesTargets[Target Amount],tblSalesTargets[MonthYear],A130,tblSalesTargets[Salesperson ID],C130)</f>
        <v>2688000</v>
      </c>
      <c r="T130">
        <f>SUMIFS(tblSalesTransactions[Sales Amount],tblSalesTransactions[Salesperson ID],C130,tblSalesTransactions[Date],"&gt;="&amp;A130,tblSalesTransactions[Date],"&lt;"&amp;EDATE(A130,1))</f>
        <v>660000</v>
      </c>
      <c r="U130" s="10">
        <f t="shared" si="19"/>
        <v>2688000</v>
      </c>
      <c r="V130" s="10">
        <f t="shared" si="20"/>
        <v>660000</v>
      </c>
      <c r="W130" t="b">
        <f t="shared" si="17"/>
        <v>1</v>
      </c>
      <c r="X130" t="b">
        <f t="shared" si="18"/>
        <v>1</v>
      </c>
    </row>
    <row r="131" spans="1:24">
      <c r="A131" s="88">
        <v>46327</v>
      </c>
      <c r="B131" s="74">
        <v>11</v>
      </c>
      <c r="C131" s="74" t="s">
        <v>40</v>
      </c>
      <c r="D131" s="74" t="s">
        <v>36</v>
      </c>
      <c r="E131" s="74" t="s">
        <v>11</v>
      </c>
      <c r="F131" s="85">
        <f>SUMIFS(tblSalesTargets[Target Amount],tblSalesTargets[MonthYear],A131,tblSalesTargets[Salesperson ID],C131)</f>
        <v>2464000</v>
      </c>
      <c r="G131" s="85">
        <f>SUMIFS(tblSalesTransactions[Sales Amount],tblSalesTransactions[Salesperson ID],C131,tblSalesTransactions[Date],"&gt;="&amp;A131,tblSalesTransactions[Date],"&lt;"&amp;EDATE(A131,1))</f>
        <v>758500</v>
      </c>
      <c r="H131" s="85">
        <f t="shared" si="14"/>
        <v>-1705500</v>
      </c>
      <c r="I131" s="87">
        <f t="shared" si="15"/>
        <v>0.30783279220779219</v>
      </c>
      <c r="J131" s="74" t="str">
        <f t="shared" si="16"/>
        <v>Below Target</v>
      </c>
      <c r="S131">
        <f>SUMIFS(tblSalesTargets[Target Amount],tblSalesTargets[MonthYear],A131,tblSalesTargets[Salesperson ID],C131)</f>
        <v>2464000</v>
      </c>
      <c r="T131">
        <f>SUMIFS(tblSalesTransactions[Sales Amount],tblSalesTransactions[Salesperson ID],C131,tblSalesTransactions[Date],"&gt;="&amp;A131,tblSalesTransactions[Date],"&lt;"&amp;EDATE(A131,1))</f>
        <v>758500</v>
      </c>
      <c r="U131" s="10">
        <f t="shared" si="19"/>
        <v>2464000</v>
      </c>
      <c r="V131" s="10">
        <f t="shared" si="20"/>
        <v>758500</v>
      </c>
      <c r="W131" t="b">
        <f t="shared" si="17"/>
        <v>1</v>
      </c>
      <c r="X131" t="b">
        <f t="shared" si="18"/>
        <v>1</v>
      </c>
    </row>
    <row r="132" spans="1:24">
      <c r="A132" s="88">
        <v>46327</v>
      </c>
      <c r="B132" s="74">
        <v>11</v>
      </c>
      <c r="C132" s="74" t="s">
        <v>42</v>
      </c>
      <c r="D132" s="74" t="s">
        <v>36</v>
      </c>
      <c r="E132" s="74" t="s">
        <v>11</v>
      </c>
      <c r="F132" s="85">
        <f>SUMIFS(tblSalesTargets[Target Amount],tblSalesTargets[MonthYear],A132,tblSalesTargets[Salesperson ID],C132)</f>
        <v>2352000</v>
      </c>
      <c r="G132" s="85">
        <f>SUMIFS(tblSalesTransactions[Sales Amount],tblSalesTransactions[Salesperson ID],C132,tblSalesTransactions[Date],"&gt;="&amp;A132,tblSalesTransactions[Date],"&lt;"&amp;EDATE(A132,1))</f>
        <v>420250</v>
      </c>
      <c r="H132" s="85">
        <f t="shared" si="14"/>
        <v>-1931750</v>
      </c>
      <c r="I132" s="87">
        <f t="shared" si="15"/>
        <v>0.17867772108843538</v>
      </c>
      <c r="J132" s="74" t="str">
        <f t="shared" si="16"/>
        <v>Below Target</v>
      </c>
      <c r="S132">
        <f>SUMIFS(tblSalesTargets[Target Amount],tblSalesTargets[MonthYear],A132,tblSalesTargets[Salesperson ID],C132)</f>
        <v>2352000</v>
      </c>
      <c r="T132">
        <f>SUMIFS(tblSalesTransactions[Sales Amount],tblSalesTransactions[Salesperson ID],C132,tblSalesTransactions[Date],"&gt;="&amp;A132,tblSalesTransactions[Date],"&lt;"&amp;EDATE(A132,1))</f>
        <v>420250</v>
      </c>
      <c r="U132" s="10">
        <f t="shared" ref="U132:U147" si="21">F132</f>
        <v>2352000</v>
      </c>
      <c r="V132" s="10">
        <f t="shared" ref="V132:V147" si="22">G132</f>
        <v>420250</v>
      </c>
      <c r="W132" t="b">
        <f t="shared" si="17"/>
        <v>1</v>
      </c>
      <c r="X132" t="b">
        <f t="shared" si="18"/>
        <v>1</v>
      </c>
    </row>
    <row r="133" spans="1:24">
      <c r="A133" s="88">
        <v>46327</v>
      </c>
      <c r="B133" s="74">
        <v>11</v>
      </c>
      <c r="C133" s="74" t="s">
        <v>46</v>
      </c>
      <c r="D133" s="74" t="s">
        <v>44</v>
      </c>
      <c r="E133" s="74" t="s">
        <v>14</v>
      </c>
      <c r="F133" s="85">
        <f>SUMIFS(tblSalesTargets[Target Amount],tblSalesTargets[MonthYear],A133,tblSalesTargets[Salesperson ID],C133)</f>
        <v>2464000</v>
      </c>
      <c r="G133" s="85">
        <f>SUMIFS(tblSalesTransactions[Sales Amount],tblSalesTransactions[Salesperson ID],C133,tblSalesTransactions[Date],"&gt;="&amp;A133,tblSalesTransactions[Date],"&lt;"&amp;EDATE(A133,1))</f>
        <v>392750</v>
      </c>
      <c r="H133" s="85">
        <f t="shared" ref="H133:H147" si="23">G133-F133</f>
        <v>-2071250</v>
      </c>
      <c r="I133" s="87">
        <f t="shared" ref="I133:I147" si="24">IFERROR(G133/F133,0)</f>
        <v>0.15939529220779219</v>
      </c>
      <c r="J133" s="74" t="str">
        <f t="shared" ref="J133:J147" si="25">IF(I133&gt;=1,"Achieved",IF(I133&gt;=0.9,"Near Target","Below Target"))</f>
        <v>Below Target</v>
      </c>
      <c r="S133">
        <f>SUMIFS(tblSalesTargets[Target Amount],tblSalesTargets[MonthYear],A133,tblSalesTargets[Salesperson ID],C133)</f>
        <v>2464000</v>
      </c>
      <c r="T133">
        <f>SUMIFS(tblSalesTransactions[Sales Amount],tblSalesTransactions[Salesperson ID],C133,tblSalesTransactions[Date],"&gt;="&amp;A133,tblSalesTransactions[Date],"&lt;"&amp;EDATE(A133,1))</f>
        <v>392750</v>
      </c>
      <c r="U133" s="10">
        <f t="shared" si="21"/>
        <v>2464000</v>
      </c>
      <c r="V133" s="10">
        <f t="shared" si="22"/>
        <v>392750</v>
      </c>
      <c r="W133" t="b">
        <f t="shared" ref="W133:W147" si="26">S133=U133</f>
        <v>1</v>
      </c>
      <c r="X133" t="b">
        <f t="shared" ref="X133:X147" si="27">T133=V133</f>
        <v>1</v>
      </c>
    </row>
    <row r="134" spans="1:24">
      <c r="A134" s="88">
        <v>46327</v>
      </c>
      <c r="B134" s="74">
        <v>11</v>
      </c>
      <c r="C134" s="74" t="s">
        <v>48</v>
      </c>
      <c r="D134" s="74" t="s">
        <v>44</v>
      </c>
      <c r="E134" s="74" t="s">
        <v>14</v>
      </c>
      <c r="F134" s="85">
        <f>SUMIFS(tblSalesTargets[Target Amount],tblSalesTargets[MonthYear],A134,tblSalesTargets[Salesperson ID],C134)</f>
        <v>2240000</v>
      </c>
      <c r="G134" s="85">
        <f>SUMIFS(tblSalesTransactions[Sales Amount],tblSalesTransactions[Salesperson ID],C134,tblSalesTransactions[Date],"&gt;="&amp;A134,tblSalesTransactions[Date],"&lt;"&amp;EDATE(A134,1))</f>
        <v>404750</v>
      </c>
      <c r="H134" s="85">
        <f t="shared" si="23"/>
        <v>-1835250</v>
      </c>
      <c r="I134" s="87">
        <f t="shared" si="24"/>
        <v>0.1806919642857143</v>
      </c>
      <c r="J134" s="74" t="str">
        <f t="shared" si="25"/>
        <v>Below Target</v>
      </c>
      <c r="S134">
        <f>SUMIFS(tblSalesTargets[Target Amount],tblSalesTargets[MonthYear],A134,tblSalesTargets[Salesperson ID],C134)</f>
        <v>2240000</v>
      </c>
      <c r="T134">
        <f>SUMIFS(tblSalesTransactions[Sales Amount],tblSalesTransactions[Salesperson ID],C134,tblSalesTransactions[Date],"&gt;="&amp;A134,tblSalesTransactions[Date],"&lt;"&amp;EDATE(A134,1))</f>
        <v>404750</v>
      </c>
      <c r="U134" s="10">
        <f t="shared" si="21"/>
        <v>2240000</v>
      </c>
      <c r="V134" s="10">
        <f t="shared" si="22"/>
        <v>404750</v>
      </c>
      <c r="W134" t="b">
        <f t="shared" si="26"/>
        <v>1</v>
      </c>
      <c r="X134" t="b">
        <f t="shared" si="27"/>
        <v>1</v>
      </c>
    </row>
    <row r="135" spans="1:24">
      <c r="A135" s="88">
        <v>46327</v>
      </c>
      <c r="B135" s="74">
        <v>11</v>
      </c>
      <c r="C135" s="74" t="s">
        <v>50</v>
      </c>
      <c r="D135" s="74" t="s">
        <v>44</v>
      </c>
      <c r="E135" s="74" t="s">
        <v>14</v>
      </c>
      <c r="F135" s="85">
        <f>SUMIFS(tblSalesTargets[Target Amount],tblSalesTargets[MonthYear],A135,tblSalesTargets[Salesperson ID],C135)</f>
        <v>2128000</v>
      </c>
      <c r="G135" s="85">
        <f>SUMIFS(tblSalesTransactions[Sales Amount],tblSalesTransactions[Salesperson ID],C135,tblSalesTransactions[Date],"&gt;="&amp;A135,tblSalesTransactions[Date],"&lt;"&amp;EDATE(A135,1))</f>
        <v>378500</v>
      </c>
      <c r="H135" s="85">
        <f t="shared" si="23"/>
        <v>-1749500</v>
      </c>
      <c r="I135" s="87">
        <f t="shared" si="24"/>
        <v>0.17786654135338345</v>
      </c>
      <c r="J135" s="74" t="str">
        <f t="shared" si="25"/>
        <v>Below Target</v>
      </c>
      <c r="S135">
        <f>SUMIFS(tblSalesTargets[Target Amount],tblSalesTargets[MonthYear],A135,tblSalesTargets[Salesperson ID],C135)</f>
        <v>2128000</v>
      </c>
      <c r="T135">
        <f>SUMIFS(tblSalesTransactions[Sales Amount],tblSalesTransactions[Salesperson ID],C135,tblSalesTransactions[Date],"&gt;="&amp;A135,tblSalesTransactions[Date],"&lt;"&amp;EDATE(A135,1))</f>
        <v>378500</v>
      </c>
      <c r="U135" s="10">
        <f t="shared" si="21"/>
        <v>2128000</v>
      </c>
      <c r="V135" s="10">
        <f t="shared" si="22"/>
        <v>378500</v>
      </c>
      <c r="W135" t="b">
        <f t="shared" si="26"/>
        <v>1</v>
      </c>
      <c r="X135" t="b">
        <f t="shared" si="27"/>
        <v>1</v>
      </c>
    </row>
    <row r="136" spans="1:24">
      <c r="A136" s="88">
        <v>46357</v>
      </c>
      <c r="B136" s="74">
        <v>12</v>
      </c>
      <c r="C136" s="74" t="s">
        <v>22</v>
      </c>
      <c r="D136" s="74" t="s">
        <v>20</v>
      </c>
      <c r="E136" s="74" t="s">
        <v>4</v>
      </c>
      <c r="F136" s="85">
        <f>SUMIFS(tblSalesTargets[Target Amount],tblSalesTargets[MonthYear],A136,tblSalesTargets[Salesperson ID],C136)</f>
        <v>3000000</v>
      </c>
      <c r="G136" s="85">
        <f>SUMIFS(tblSalesTransactions[Sales Amount],tblSalesTransactions[Salesperson ID],C136,tblSalesTransactions[Date],"&gt;="&amp;A136,tblSalesTransactions[Date],"&lt;"&amp;EDATE(A136,1))</f>
        <v>367000</v>
      </c>
      <c r="H136" s="85">
        <f t="shared" si="23"/>
        <v>-2633000</v>
      </c>
      <c r="I136" s="87">
        <f t="shared" si="24"/>
        <v>0.12233333333333334</v>
      </c>
      <c r="J136" s="74" t="str">
        <f t="shared" si="25"/>
        <v>Below Target</v>
      </c>
      <c r="S136">
        <f>SUMIFS(tblSalesTargets[Target Amount],tblSalesTargets[MonthYear],A136,tblSalesTargets[Salesperson ID],C136)</f>
        <v>3000000</v>
      </c>
      <c r="T136">
        <f>SUMIFS(tblSalesTransactions[Sales Amount],tblSalesTransactions[Salesperson ID],C136,tblSalesTransactions[Date],"&gt;="&amp;A136,tblSalesTransactions[Date],"&lt;"&amp;EDATE(A136,1))</f>
        <v>367000</v>
      </c>
      <c r="U136" s="10">
        <f t="shared" si="21"/>
        <v>3000000</v>
      </c>
      <c r="V136" s="10">
        <f t="shared" si="22"/>
        <v>367000</v>
      </c>
      <c r="W136" t="b">
        <f t="shared" si="26"/>
        <v>1</v>
      </c>
      <c r="X136" t="b">
        <f t="shared" si="27"/>
        <v>1</v>
      </c>
    </row>
    <row r="137" spans="1:24">
      <c r="A137" s="88">
        <v>46357</v>
      </c>
      <c r="B137" s="74">
        <v>12</v>
      </c>
      <c r="C137" s="74" t="s">
        <v>24</v>
      </c>
      <c r="D137" s="74" t="s">
        <v>20</v>
      </c>
      <c r="E137" s="74" t="s">
        <v>4</v>
      </c>
      <c r="F137" s="85">
        <f>SUMIFS(tblSalesTargets[Target Amount],tblSalesTargets[MonthYear],A137,tblSalesTargets[Salesperson ID],C137)</f>
        <v>2760000</v>
      </c>
      <c r="G137" s="85">
        <f>SUMIFS(tblSalesTransactions[Sales Amount],tblSalesTransactions[Salesperson ID],C137,tblSalesTransactions[Date],"&gt;="&amp;A137,tblSalesTransactions[Date],"&lt;"&amp;EDATE(A137,1))</f>
        <v>436500</v>
      </c>
      <c r="H137" s="85">
        <f t="shared" si="23"/>
        <v>-2323500</v>
      </c>
      <c r="I137" s="87">
        <f t="shared" si="24"/>
        <v>0.15815217391304348</v>
      </c>
      <c r="J137" s="74" t="str">
        <f t="shared" si="25"/>
        <v>Below Target</v>
      </c>
      <c r="S137">
        <f>SUMIFS(tblSalesTargets[Target Amount],tblSalesTargets[MonthYear],A137,tblSalesTargets[Salesperson ID],C137)</f>
        <v>2760000</v>
      </c>
      <c r="T137">
        <f>SUMIFS(tblSalesTransactions[Sales Amount],tblSalesTransactions[Salesperson ID],C137,tblSalesTransactions[Date],"&gt;="&amp;A137,tblSalesTransactions[Date],"&lt;"&amp;EDATE(A137,1))</f>
        <v>436500</v>
      </c>
      <c r="U137" s="10">
        <f t="shared" si="21"/>
        <v>2760000</v>
      </c>
      <c r="V137" s="10">
        <f t="shared" si="22"/>
        <v>436500</v>
      </c>
      <c r="W137" t="b">
        <f t="shared" si="26"/>
        <v>1</v>
      </c>
      <c r="X137" t="b">
        <f t="shared" si="27"/>
        <v>1</v>
      </c>
    </row>
    <row r="138" spans="1:24">
      <c r="A138" s="88">
        <v>46357</v>
      </c>
      <c r="B138" s="74">
        <v>12</v>
      </c>
      <c r="C138" s="74" t="s">
        <v>26</v>
      </c>
      <c r="D138" s="74" t="s">
        <v>20</v>
      </c>
      <c r="E138" s="74" t="s">
        <v>4</v>
      </c>
      <c r="F138" s="85">
        <f>SUMIFS(tblSalesTargets[Target Amount],tblSalesTargets[MonthYear],A138,tblSalesTargets[Salesperson ID],C138)</f>
        <v>2640000</v>
      </c>
      <c r="G138" s="85">
        <f>SUMIFS(tblSalesTransactions[Sales Amount],tblSalesTransactions[Salesperson ID],C138,tblSalesTransactions[Date],"&gt;="&amp;A138,tblSalesTransactions[Date],"&lt;"&amp;EDATE(A138,1))</f>
        <v>369750</v>
      </c>
      <c r="H138" s="85">
        <f t="shared" si="23"/>
        <v>-2270250</v>
      </c>
      <c r="I138" s="87">
        <f t="shared" si="24"/>
        <v>0.14005681818181817</v>
      </c>
      <c r="J138" s="74" t="str">
        <f t="shared" si="25"/>
        <v>Below Target</v>
      </c>
      <c r="S138">
        <f>SUMIFS(tblSalesTargets[Target Amount],tblSalesTargets[MonthYear],A138,tblSalesTargets[Salesperson ID],C138)</f>
        <v>2640000</v>
      </c>
      <c r="T138">
        <f>SUMIFS(tblSalesTransactions[Sales Amount],tblSalesTransactions[Salesperson ID],C138,tblSalesTransactions[Date],"&gt;="&amp;A138,tblSalesTransactions[Date],"&lt;"&amp;EDATE(A138,1))</f>
        <v>369750</v>
      </c>
      <c r="U138" s="10">
        <f t="shared" si="21"/>
        <v>2640000</v>
      </c>
      <c r="V138" s="10">
        <f t="shared" si="22"/>
        <v>369750</v>
      </c>
      <c r="W138" t="b">
        <f t="shared" si="26"/>
        <v>1</v>
      </c>
      <c r="X138" t="b">
        <f t="shared" si="27"/>
        <v>1</v>
      </c>
    </row>
    <row r="139" spans="1:24">
      <c r="A139" s="88">
        <v>46357</v>
      </c>
      <c r="B139" s="74">
        <v>12</v>
      </c>
      <c r="C139" s="74" t="s">
        <v>30</v>
      </c>
      <c r="D139" s="74" t="s">
        <v>28</v>
      </c>
      <c r="E139" s="74" t="s">
        <v>8</v>
      </c>
      <c r="F139" s="85">
        <f>SUMIFS(tblSalesTargets[Target Amount],tblSalesTargets[MonthYear],A139,tblSalesTargets[Salesperson ID],C139)</f>
        <v>3240000</v>
      </c>
      <c r="G139" s="85">
        <f>SUMIFS(tblSalesTransactions[Sales Amount],tblSalesTransactions[Salesperson ID],C139,tblSalesTransactions[Date],"&gt;="&amp;A139,tblSalesTransactions[Date],"&lt;"&amp;EDATE(A139,1))</f>
        <v>718000</v>
      </c>
      <c r="H139" s="85">
        <f t="shared" si="23"/>
        <v>-2522000</v>
      </c>
      <c r="I139" s="87">
        <f t="shared" si="24"/>
        <v>0.22160493827160493</v>
      </c>
      <c r="J139" s="74" t="str">
        <f t="shared" si="25"/>
        <v>Below Target</v>
      </c>
      <c r="S139">
        <f>SUMIFS(tblSalesTargets[Target Amount],tblSalesTargets[MonthYear],A139,tblSalesTargets[Salesperson ID],C139)</f>
        <v>3240000</v>
      </c>
      <c r="T139">
        <f>SUMIFS(tblSalesTransactions[Sales Amount],tblSalesTransactions[Salesperson ID],C139,tblSalesTransactions[Date],"&gt;="&amp;A139,tblSalesTransactions[Date],"&lt;"&amp;EDATE(A139,1))</f>
        <v>718000</v>
      </c>
      <c r="U139" s="10">
        <f t="shared" si="21"/>
        <v>3240000</v>
      </c>
      <c r="V139" s="10">
        <f t="shared" si="22"/>
        <v>718000</v>
      </c>
      <c r="W139" t="b">
        <f t="shared" si="26"/>
        <v>1</v>
      </c>
      <c r="X139" t="b">
        <f t="shared" si="27"/>
        <v>1</v>
      </c>
    </row>
    <row r="140" spans="1:24">
      <c r="A140" s="88">
        <v>46357</v>
      </c>
      <c r="B140" s="74">
        <v>12</v>
      </c>
      <c r="C140" s="74" t="s">
        <v>32</v>
      </c>
      <c r="D140" s="74" t="s">
        <v>28</v>
      </c>
      <c r="E140" s="74" t="s">
        <v>8</v>
      </c>
      <c r="F140" s="85">
        <f>SUMIFS(tblSalesTargets[Target Amount],tblSalesTargets[MonthYear],A140,tblSalesTargets[Salesperson ID],C140)</f>
        <v>3000000</v>
      </c>
      <c r="G140" s="85">
        <f>SUMIFS(tblSalesTransactions[Sales Amount],tblSalesTransactions[Salesperson ID],C140,tblSalesTransactions[Date],"&gt;="&amp;A140,tblSalesTransactions[Date],"&lt;"&amp;EDATE(A140,1))</f>
        <v>841500</v>
      </c>
      <c r="H140" s="85">
        <f t="shared" si="23"/>
        <v>-2158500</v>
      </c>
      <c r="I140" s="87">
        <f t="shared" si="24"/>
        <v>0.28050000000000003</v>
      </c>
      <c r="J140" s="74" t="str">
        <f t="shared" si="25"/>
        <v>Below Target</v>
      </c>
      <c r="S140">
        <f>SUMIFS(tblSalesTargets[Target Amount],tblSalesTargets[MonthYear],A140,tblSalesTargets[Salesperson ID],C140)</f>
        <v>3000000</v>
      </c>
      <c r="T140">
        <f>SUMIFS(tblSalesTransactions[Sales Amount],tblSalesTransactions[Salesperson ID],C140,tblSalesTransactions[Date],"&gt;="&amp;A140,tblSalesTransactions[Date],"&lt;"&amp;EDATE(A140,1))</f>
        <v>841500</v>
      </c>
      <c r="U140" s="10">
        <f t="shared" si="21"/>
        <v>3000000</v>
      </c>
      <c r="V140" s="10">
        <f t="shared" si="22"/>
        <v>841500</v>
      </c>
      <c r="W140" t="b">
        <f t="shared" si="26"/>
        <v>1</v>
      </c>
      <c r="X140" t="b">
        <f t="shared" si="27"/>
        <v>1</v>
      </c>
    </row>
    <row r="141" spans="1:24">
      <c r="A141" s="88">
        <v>46357</v>
      </c>
      <c r="B141" s="74">
        <v>12</v>
      </c>
      <c r="C141" s="74" t="s">
        <v>34</v>
      </c>
      <c r="D141" s="74" t="s">
        <v>28</v>
      </c>
      <c r="E141" s="74" t="s">
        <v>8</v>
      </c>
      <c r="F141" s="85">
        <f>SUMIFS(tblSalesTargets[Target Amount],tblSalesTargets[MonthYear],A141,tblSalesTargets[Salesperson ID],C141)</f>
        <v>2760000</v>
      </c>
      <c r="G141" s="85">
        <f>SUMIFS(tblSalesTransactions[Sales Amount],tblSalesTransactions[Salesperson ID],C141,tblSalesTransactions[Date],"&gt;="&amp;A141,tblSalesTransactions[Date],"&lt;"&amp;EDATE(A141,1))</f>
        <v>442750</v>
      </c>
      <c r="H141" s="85">
        <f t="shared" si="23"/>
        <v>-2317250</v>
      </c>
      <c r="I141" s="87">
        <f t="shared" si="24"/>
        <v>0.16041666666666668</v>
      </c>
      <c r="J141" s="74" t="str">
        <f t="shared" si="25"/>
        <v>Below Target</v>
      </c>
      <c r="S141">
        <f>SUMIFS(tblSalesTargets[Target Amount],tblSalesTargets[MonthYear],A141,tblSalesTargets[Salesperson ID],C141)</f>
        <v>2760000</v>
      </c>
      <c r="T141">
        <f>SUMIFS(tblSalesTransactions[Sales Amount],tblSalesTransactions[Salesperson ID],C141,tblSalesTransactions[Date],"&gt;="&amp;A141,tblSalesTransactions[Date],"&lt;"&amp;EDATE(A141,1))</f>
        <v>442750</v>
      </c>
      <c r="U141" s="10">
        <f t="shared" si="21"/>
        <v>2760000</v>
      </c>
      <c r="V141" s="10">
        <f t="shared" si="22"/>
        <v>442750</v>
      </c>
      <c r="W141" t="b">
        <f t="shared" si="26"/>
        <v>1</v>
      </c>
      <c r="X141" t="b">
        <f t="shared" si="27"/>
        <v>1</v>
      </c>
    </row>
    <row r="142" spans="1:24">
      <c r="A142" s="88">
        <v>46357</v>
      </c>
      <c r="B142" s="74">
        <v>12</v>
      </c>
      <c r="C142" s="74" t="s">
        <v>38</v>
      </c>
      <c r="D142" s="74" t="s">
        <v>36</v>
      </c>
      <c r="E142" s="74" t="s">
        <v>11</v>
      </c>
      <c r="F142" s="85">
        <f>SUMIFS(tblSalesTargets[Target Amount],tblSalesTargets[MonthYear],A142,tblSalesTargets[Salesperson ID],C142)</f>
        <v>2880000</v>
      </c>
      <c r="G142" s="85">
        <f>SUMIFS(tblSalesTransactions[Sales Amount],tblSalesTransactions[Salesperson ID],C142,tblSalesTransactions[Date],"&gt;="&amp;A142,tblSalesTransactions[Date],"&lt;"&amp;EDATE(A142,1))</f>
        <v>834000</v>
      </c>
      <c r="H142" s="85">
        <f t="shared" si="23"/>
        <v>-2046000</v>
      </c>
      <c r="I142" s="87">
        <f t="shared" si="24"/>
        <v>0.28958333333333336</v>
      </c>
      <c r="J142" s="74" t="str">
        <f t="shared" si="25"/>
        <v>Below Target</v>
      </c>
      <c r="S142">
        <f>SUMIFS(tblSalesTargets[Target Amount],tblSalesTargets[MonthYear],A142,tblSalesTargets[Salesperson ID],C142)</f>
        <v>2880000</v>
      </c>
      <c r="T142">
        <f>SUMIFS(tblSalesTransactions[Sales Amount],tblSalesTransactions[Salesperson ID],C142,tblSalesTransactions[Date],"&gt;="&amp;A142,tblSalesTransactions[Date],"&lt;"&amp;EDATE(A142,1))</f>
        <v>834000</v>
      </c>
      <c r="U142" s="10">
        <f t="shared" si="21"/>
        <v>2880000</v>
      </c>
      <c r="V142" s="10">
        <f t="shared" si="22"/>
        <v>834000</v>
      </c>
      <c r="W142" t="b">
        <f t="shared" si="26"/>
        <v>1</v>
      </c>
      <c r="X142" t="b">
        <f t="shared" si="27"/>
        <v>1</v>
      </c>
    </row>
    <row r="143" spans="1:24">
      <c r="A143" s="88">
        <v>46357</v>
      </c>
      <c r="B143" s="74">
        <v>12</v>
      </c>
      <c r="C143" s="74" t="s">
        <v>40</v>
      </c>
      <c r="D143" s="74" t="s">
        <v>36</v>
      </c>
      <c r="E143" s="74" t="s">
        <v>11</v>
      </c>
      <c r="F143" s="85">
        <f>SUMIFS(tblSalesTargets[Target Amount],tblSalesTargets[MonthYear],A143,tblSalesTargets[Salesperson ID],C143)</f>
        <v>2640000</v>
      </c>
      <c r="G143" s="85">
        <f>SUMIFS(tblSalesTransactions[Sales Amount],tblSalesTransactions[Salesperson ID],C143,tblSalesTransactions[Date],"&gt;="&amp;A143,tblSalesTransactions[Date],"&lt;"&amp;EDATE(A143,1))</f>
        <v>868500</v>
      </c>
      <c r="H143" s="85">
        <f t="shared" si="23"/>
        <v>-1771500</v>
      </c>
      <c r="I143" s="87">
        <f t="shared" si="24"/>
        <v>0.32897727272727273</v>
      </c>
      <c r="J143" s="74" t="str">
        <f t="shared" si="25"/>
        <v>Below Target</v>
      </c>
      <c r="S143">
        <f>SUMIFS(tblSalesTargets[Target Amount],tblSalesTargets[MonthYear],A143,tblSalesTargets[Salesperson ID],C143)</f>
        <v>2640000</v>
      </c>
      <c r="T143">
        <f>SUMIFS(tblSalesTransactions[Sales Amount],tblSalesTransactions[Salesperson ID],C143,tblSalesTransactions[Date],"&gt;="&amp;A143,tblSalesTransactions[Date],"&lt;"&amp;EDATE(A143,1))</f>
        <v>868500</v>
      </c>
      <c r="U143" s="10">
        <f t="shared" si="21"/>
        <v>2640000</v>
      </c>
      <c r="V143" s="10">
        <f t="shared" si="22"/>
        <v>868500</v>
      </c>
      <c r="W143" t="b">
        <f t="shared" si="26"/>
        <v>1</v>
      </c>
      <c r="X143" t="b">
        <f t="shared" si="27"/>
        <v>1</v>
      </c>
    </row>
    <row r="144" spans="1:24">
      <c r="A144" s="88">
        <v>46357</v>
      </c>
      <c r="B144" s="74">
        <v>12</v>
      </c>
      <c r="C144" s="74" t="s">
        <v>42</v>
      </c>
      <c r="D144" s="74" t="s">
        <v>36</v>
      </c>
      <c r="E144" s="74" t="s">
        <v>11</v>
      </c>
      <c r="F144" s="85">
        <f>SUMIFS(tblSalesTargets[Target Amount],tblSalesTargets[MonthYear],A144,tblSalesTargets[Salesperson ID],C144)</f>
        <v>2520000</v>
      </c>
      <c r="G144" s="85">
        <f>SUMIFS(tblSalesTransactions[Sales Amount],tblSalesTransactions[Salesperson ID],C144,tblSalesTransactions[Date],"&gt;="&amp;A144,tblSalesTransactions[Date],"&lt;"&amp;EDATE(A144,1))</f>
        <v>442500</v>
      </c>
      <c r="H144" s="85">
        <f t="shared" si="23"/>
        <v>-2077500</v>
      </c>
      <c r="I144" s="87">
        <f t="shared" si="24"/>
        <v>0.17559523809523808</v>
      </c>
      <c r="J144" s="74" t="str">
        <f t="shared" si="25"/>
        <v>Below Target</v>
      </c>
      <c r="S144">
        <f>SUMIFS(tblSalesTargets[Target Amount],tblSalesTargets[MonthYear],A144,tblSalesTargets[Salesperson ID],C144)</f>
        <v>2520000</v>
      </c>
      <c r="T144">
        <f>SUMIFS(tblSalesTransactions[Sales Amount],tblSalesTransactions[Salesperson ID],C144,tblSalesTransactions[Date],"&gt;="&amp;A144,tblSalesTransactions[Date],"&lt;"&amp;EDATE(A144,1))</f>
        <v>442500</v>
      </c>
      <c r="U144" s="10">
        <f t="shared" si="21"/>
        <v>2520000</v>
      </c>
      <c r="V144" s="10">
        <f t="shared" si="22"/>
        <v>442500</v>
      </c>
      <c r="W144" t="b">
        <f t="shared" si="26"/>
        <v>1</v>
      </c>
      <c r="X144" t="b">
        <f t="shared" si="27"/>
        <v>1</v>
      </c>
    </row>
    <row r="145" spans="1:24">
      <c r="A145" s="88">
        <v>46357</v>
      </c>
      <c r="B145" s="74">
        <v>12</v>
      </c>
      <c r="C145" s="74" t="s">
        <v>46</v>
      </c>
      <c r="D145" s="74" t="s">
        <v>44</v>
      </c>
      <c r="E145" s="74" t="s">
        <v>14</v>
      </c>
      <c r="F145" s="85">
        <f>SUMIFS(tblSalesTargets[Target Amount],tblSalesTargets[MonthYear],A145,tblSalesTargets[Salesperson ID],C145)</f>
        <v>2640000</v>
      </c>
      <c r="G145" s="85">
        <f>SUMIFS(tblSalesTransactions[Sales Amount],tblSalesTransactions[Salesperson ID],C145,tblSalesTransactions[Date],"&gt;="&amp;A145,tblSalesTransactions[Date],"&lt;"&amp;EDATE(A145,1))</f>
        <v>430250</v>
      </c>
      <c r="H145" s="85">
        <f t="shared" si="23"/>
        <v>-2209750</v>
      </c>
      <c r="I145" s="87">
        <f t="shared" si="24"/>
        <v>0.16297348484848484</v>
      </c>
      <c r="J145" s="74" t="str">
        <f t="shared" si="25"/>
        <v>Below Target</v>
      </c>
      <c r="S145">
        <f>SUMIFS(tblSalesTargets[Target Amount],tblSalesTargets[MonthYear],A145,tblSalesTargets[Salesperson ID],C145)</f>
        <v>2640000</v>
      </c>
      <c r="T145">
        <f>SUMIFS(tblSalesTransactions[Sales Amount],tblSalesTransactions[Salesperson ID],C145,tblSalesTransactions[Date],"&gt;="&amp;A145,tblSalesTransactions[Date],"&lt;"&amp;EDATE(A145,1))</f>
        <v>430250</v>
      </c>
      <c r="U145" s="10">
        <f t="shared" si="21"/>
        <v>2640000</v>
      </c>
      <c r="V145" s="10">
        <f t="shared" si="22"/>
        <v>430250</v>
      </c>
      <c r="W145" t="b">
        <f t="shared" si="26"/>
        <v>1</v>
      </c>
      <c r="X145" t="b">
        <f t="shared" si="27"/>
        <v>1</v>
      </c>
    </row>
    <row r="146" spans="1:24">
      <c r="A146" s="88">
        <v>46357</v>
      </c>
      <c r="B146" s="74">
        <v>12</v>
      </c>
      <c r="C146" s="74" t="s">
        <v>48</v>
      </c>
      <c r="D146" s="74" t="s">
        <v>44</v>
      </c>
      <c r="E146" s="74" t="s">
        <v>14</v>
      </c>
      <c r="F146" s="85">
        <f>SUMIFS(tblSalesTargets[Target Amount],tblSalesTargets[MonthYear],A146,tblSalesTargets[Salesperson ID],C146)</f>
        <v>2400000</v>
      </c>
      <c r="G146" s="85">
        <f>SUMIFS(tblSalesTransactions[Sales Amount],tblSalesTransactions[Salesperson ID],C146,tblSalesTransactions[Date],"&gt;="&amp;A146,tblSalesTransactions[Date],"&lt;"&amp;EDATE(A146,1))</f>
        <v>441500</v>
      </c>
      <c r="H146" s="85">
        <f t="shared" si="23"/>
        <v>-1958500</v>
      </c>
      <c r="I146" s="87">
        <f t="shared" si="24"/>
        <v>0.18395833333333333</v>
      </c>
      <c r="J146" s="74" t="str">
        <f t="shared" si="25"/>
        <v>Below Target</v>
      </c>
      <c r="S146">
        <f>SUMIFS(tblSalesTargets[Target Amount],tblSalesTargets[MonthYear],A146,tblSalesTargets[Salesperson ID],C146)</f>
        <v>2400000</v>
      </c>
      <c r="T146">
        <f>SUMIFS(tblSalesTransactions[Sales Amount],tblSalesTransactions[Salesperson ID],C146,tblSalesTransactions[Date],"&gt;="&amp;A146,tblSalesTransactions[Date],"&lt;"&amp;EDATE(A146,1))</f>
        <v>441500</v>
      </c>
      <c r="U146" s="10">
        <f t="shared" si="21"/>
        <v>2400000</v>
      </c>
      <c r="V146" s="10">
        <f t="shared" si="22"/>
        <v>441500</v>
      </c>
      <c r="W146" t="b">
        <f t="shared" si="26"/>
        <v>1</v>
      </c>
      <c r="X146" t="b">
        <f t="shared" si="27"/>
        <v>1</v>
      </c>
    </row>
    <row r="147" spans="1:24">
      <c r="A147" s="88">
        <v>46357</v>
      </c>
      <c r="B147" s="74">
        <v>12</v>
      </c>
      <c r="C147" s="74" t="s">
        <v>50</v>
      </c>
      <c r="D147" s="74" t="s">
        <v>44</v>
      </c>
      <c r="E147" s="74" t="s">
        <v>14</v>
      </c>
      <c r="F147" s="85">
        <f>SUMIFS(tblSalesTargets[Target Amount],tblSalesTargets[MonthYear],A147,tblSalesTargets[Salesperson ID],C147)</f>
        <v>2280000</v>
      </c>
      <c r="G147" s="85">
        <f>SUMIFS(tblSalesTransactions[Sales Amount],tblSalesTransactions[Salesperson ID],C147,tblSalesTransactions[Date],"&gt;="&amp;A147,tblSalesTransactions[Date],"&lt;"&amp;EDATE(A147,1))</f>
        <v>415250</v>
      </c>
      <c r="H147" s="85">
        <f t="shared" si="23"/>
        <v>-1864750</v>
      </c>
      <c r="I147" s="87">
        <f t="shared" si="24"/>
        <v>0.18212719298245614</v>
      </c>
      <c r="J147" s="74" t="str">
        <f t="shared" si="25"/>
        <v>Below Target</v>
      </c>
      <c r="S147">
        <f>SUMIFS(tblSalesTargets[Target Amount],tblSalesTargets[MonthYear],A147,tblSalesTargets[Salesperson ID],C147)</f>
        <v>2280000</v>
      </c>
      <c r="T147">
        <f>SUMIFS(tblSalesTransactions[Sales Amount],tblSalesTransactions[Salesperson ID],C147,tblSalesTransactions[Date],"&gt;="&amp;A147,tblSalesTransactions[Date],"&lt;"&amp;EDATE(A147,1))</f>
        <v>415250</v>
      </c>
      <c r="U147" s="10">
        <f t="shared" si="21"/>
        <v>2280000</v>
      </c>
      <c r="V147" s="10">
        <f t="shared" si="22"/>
        <v>415250</v>
      </c>
      <c r="W147" t="b">
        <f t="shared" si="26"/>
        <v>1</v>
      </c>
      <c r="X147" t="b">
        <f t="shared" si="27"/>
        <v>1</v>
      </c>
    </row>
    <row r="148" spans="1:24">
      <c r="A148" s="15"/>
      <c r="F148" s="85">
        <f>SUBTOTAL(109,tblTargetVsActual[Target Amount])</f>
        <v>348075000</v>
      </c>
      <c r="G148" s="85">
        <f>SUBTOTAL(109,tblTargetVsActual[Actual Sales])</f>
        <v>60255750</v>
      </c>
      <c r="H148" s="85">
        <f>SUBTOTAL(109,tblTargetVsActual[SALES VARIANCE])</f>
        <v>-287819250</v>
      </c>
      <c r="I148" s="89">
        <f>tblTargetVsActual[[#Totals],[Actual Sales]]/tblTargetVsActual[[#Totals],[Target Amount]]</f>
        <v>0.17311139840551606</v>
      </c>
      <c r="U148" s="10"/>
      <c r="V148" s="10"/>
    </row>
    <row r="152" spans="1:24">
      <c r="G152" s="44"/>
    </row>
  </sheetData>
  <pageMargins left="0.7" right="0.7" top="0.75" bottom="0.75" header="0.3" footer="0.3"/>
  <pageSetup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0B297-E02A-4612-B1C2-F676742C671C}">
  <dimension ref="A1:Q16"/>
  <sheetViews>
    <sheetView workbookViewId="0"/>
  </sheetViews>
  <sheetFormatPr defaultRowHeight="15"/>
  <cols>
    <col min="1" max="1" width="15.140625" bestFit="1" customWidth="1"/>
    <col min="2" max="2" width="25.85546875" bestFit="1" customWidth="1"/>
    <col min="3" max="3" width="9" bestFit="1" customWidth="1"/>
    <col min="4" max="4" width="16.42578125" bestFit="1" customWidth="1"/>
    <col min="5" max="5" width="12.7109375" bestFit="1" customWidth="1"/>
    <col min="6" max="6" width="19.28515625" bestFit="1" customWidth="1"/>
    <col min="7" max="7" width="27.140625" bestFit="1" customWidth="1"/>
    <col min="8" max="8" width="18.5703125" bestFit="1" customWidth="1"/>
    <col min="9" max="9" width="13.5703125" bestFit="1" customWidth="1"/>
    <col min="10" max="10" width="22" bestFit="1" customWidth="1"/>
    <col min="11" max="11" width="18.28515625" bestFit="1" customWidth="1"/>
    <col min="12" max="12" width="13.85546875" bestFit="1" customWidth="1"/>
    <col min="13" max="13" width="32.5703125" bestFit="1" customWidth="1"/>
    <col min="15" max="15" width="23" bestFit="1" customWidth="1"/>
    <col min="16" max="16" width="14.28515625" bestFit="1" customWidth="1"/>
  </cols>
  <sheetData>
    <row r="1" spans="1:17">
      <c r="A1" s="16" t="s">
        <v>609</v>
      </c>
    </row>
    <row r="3" spans="1:17" ht="15.75" thickBot="1">
      <c r="A3" t="s">
        <v>52</v>
      </c>
      <c r="B3" t="s">
        <v>53</v>
      </c>
      <c r="C3" t="s">
        <v>0</v>
      </c>
      <c r="D3" t="s">
        <v>18</v>
      </c>
      <c r="E3" t="s">
        <v>610</v>
      </c>
      <c r="F3" t="s">
        <v>611</v>
      </c>
      <c r="G3" t="s">
        <v>612</v>
      </c>
      <c r="H3" t="s">
        <v>514</v>
      </c>
      <c r="I3" t="s">
        <v>515</v>
      </c>
      <c r="J3" t="s">
        <v>525</v>
      </c>
      <c r="K3" t="s">
        <v>526</v>
      </c>
      <c r="L3" t="s">
        <v>516</v>
      </c>
      <c r="M3" t="s">
        <v>613</v>
      </c>
      <c r="O3" s="16" t="s">
        <v>614</v>
      </c>
    </row>
    <row r="4" spans="1:17">
      <c r="A4" s="74" t="s">
        <v>54</v>
      </c>
      <c r="B4" t="str">
        <f>IFERROR(INDEX(tblDistributors[Distributor Name],MATCH(A4,tblDistributors[Distributor ID],0)),"")</f>
        <v>Karachi Distributors</v>
      </c>
      <c r="C4" s="74" t="str">
        <f>IFERROR(INDEX(tblDistributors[City ID],MATCH(A4,tblDistributors[Distributor ID],0)),"")</f>
        <v>C001</v>
      </c>
      <c r="D4" s="74" t="str">
        <f>IFERROR(INDEX(tblDistributors[Salesperson ID],MATCH(A4,tblDistributors[Distributor ID],0)),"")</f>
        <v>SP001</v>
      </c>
      <c r="E4" s="85">
        <f>SUMIFS(tblSalesTransactions[Sales Amount],tblSalesTransactions[Distributor ID],A4)</f>
        <v>3296500</v>
      </c>
      <c r="F4" s="85">
        <f>COUNTIFS(tblSalesTransactions[Distributor ID],A4)</f>
        <v>25</v>
      </c>
      <c r="G4" s="85">
        <f t="shared" ref="G4:G15" si="0">IFERROR(E4/F4,0)</f>
        <v>131860</v>
      </c>
      <c r="H4" s="85">
        <f>SUMIFS(tblInventory[Closing Stock Qty],tblInventory[Distributor ID],A4,tblInventory[Snapshot Date],'02_Control_Panel'!$B$5)</f>
        <v>248</v>
      </c>
      <c r="I4" s="85">
        <f>SUMIFS(tblInventory[Stock Value],tblInventory[Distributor ID],A4,tblInventory[Snapshot Date],'02_Control_Panel'!$B$5)</f>
        <v>324900</v>
      </c>
      <c r="J4" s="85">
        <f>SUMIFS(tblCollections[Outstanding Amount],tblCollections[Distributor ID],A4)</f>
        <v>0</v>
      </c>
      <c r="K4" s="74" t="str">
        <f t="shared" ref="K4:K15" si="1">IF(J4=0,"Paid",IF(J4&gt;0,"Outstanding","Review"))</f>
        <v>Paid</v>
      </c>
      <c r="L4" s="74" t="str">
        <f>IF(COUNTIFS(tblInventory[Distributor ID],A4,tblInventory[Snapshot Date],'02_Control_Panel'!$B$5,tblInventory[Stock Status],"High Stock")&gt;0,"High Stock","Normal")</f>
        <v>High Stock</v>
      </c>
      <c r="M4" s="74" t="str">
        <f t="shared" ref="M4:M15" si="2">IF(AND(L4="High Stock",E4&gt;0),"Potential Slow-Moving","Normal")</f>
        <v>Potential Slow-Moving</v>
      </c>
      <c r="N4" s="10"/>
      <c r="O4" s="90" t="s">
        <v>615</v>
      </c>
      <c r="P4" s="91">
        <f>COUNTA(tblDistributorAnalysis[Distributor ID])</f>
        <v>12</v>
      </c>
      <c r="Q4" s="10"/>
    </row>
    <row r="5" spans="1:17">
      <c r="A5" s="74" t="s">
        <v>56</v>
      </c>
      <c r="B5" t="str">
        <f>IFERROR(INDEX(tblDistributors[Distributor Name],MATCH(A5,tblDistributors[Distributor ID],0)),"")</f>
        <v>Metro Wholesale Karachi</v>
      </c>
      <c r="C5" s="74" t="str">
        <f>IFERROR(INDEX(tblDistributors[City ID],MATCH(A5,tblDistributors[Distributor ID],0)),"")</f>
        <v>C001</v>
      </c>
      <c r="D5" s="74" t="str">
        <f>IFERROR(INDEX(tblDistributors[Salesperson ID],MATCH(A5,tblDistributors[Distributor ID],0)),"")</f>
        <v>SP002</v>
      </c>
      <c r="E5" s="85">
        <f>SUMIFS(tblSalesTransactions[Sales Amount],tblSalesTransactions[Distributor ID],A5)</f>
        <v>4262000</v>
      </c>
      <c r="F5" s="85">
        <f>COUNTIFS(tblSalesTransactions[Distributor ID],A5)</f>
        <v>25</v>
      </c>
      <c r="G5" s="85">
        <f t="shared" si="0"/>
        <v>170480</v>
      </c>
      <c r="H5" s="85">
        <f>SUMIFS(tblInventory[Closing Stock Qty],tblInventory[Distributor ID],A5,tblInventory[Snapshot Date],'02_Control_Panel'!$B$5)</f>
        <v>221</v>
      </c>
      <c r="I5" s="85">
        <f>SUMIFS(tblInventory[Stock Value],tblInventory[Distributor ID],A5,tblInventory[Snapshot Date],'02_Control_Panel'!$B$5)</f>
        <v>393000</v>
      </c>
      <c r="J5" s="85">
        <f>SUMIFS(tblCollections[Outstanding Amount],tblCollections[Distributor ID],A5)</f>
        <v>0</v>
      </c>
      <c r="K5" s="74" t="str">
        <f t="shared" si="1"/>
        <v>Paid</v>
      </c>
      <c r="L5" s="74" t="str">
        <f>IF(COUNTIFS(tblInventory[Distributor ID],A5,tblInventory[Snapshot Date],'02_Control_Panel'!$B$5,tblInventory[Stock Status],"High Stock")&gt;0,"High Stock","Normal")</f>
        <v>High Stock</v>
      </c>
      <c r="M5" s="74" t="str">
        <f t="shared" si="2"/>
        <v>Potential Slow-Moving</v>
      </c>
      <c r="O5" s="92" t="s">
        <v>610</v>
      </c>
      <c r="P5" s="93">
        <f>SUM(tblDistributorAnalysis[Total Sales])</f>
        <v>60255750</v>
      </c>
    </row>
    <row r="6" spans="1:17">
      <c r="A6" s="74" t="s">
        <v>58</v>
      </c>
      <c r="B6" t="str">
        <f>IFERROR(INDEX(tblDistributors[Distributor Name],MATCH(A6,tblDistributors[Distributor ID],0)),"")</f>
        <v>Sindh Trade Network</v>
      </c>
      <c r="C6" s="74" t="str">
        <f>IFERROR(INDEX(tblDistributors[City ID],MATCH(A6,tblDistributors[Distributor ID],0)),"")</f>
        <v>C001</v>
      </c>
      <c r="D6" s="74" t="str">
        <f>IFERROR(INDEX(tblDistributors[Salesperson ID],MATCH(A6,tblDistributors[Distributor ID],0)),"")</f>
        <v>SP003</v>
      </c>
      <c r="E6" s="85">
        <f>SUMIFS(tblSalesTransactions[Sales Amount],tblSalesTransactions[Distributor ID],A6)</f>
        <v>3863500</v>
      </c>
      <c r="F6" s="85">
        <f>COUNTIFS(tblSalesTransactions[Distributor ID],A6)</f>
        <v>25</v>
      </c>
      <c r="G6" s="85">
        <f t="shared" si="0"/>
        <v>154540</v>
      </c>
      <c r="H6" s="85">
        <f>SUMIFS(tblInventory[Closing Stock Qty],tblInventory[Distributor ID],A6,tblInventory[Snapshot Date],'02_Control_Panel'!$B$5)</f>
        <v>146</v>
      </c>
      <c r="I6" s="85">
        <f>SUMIFS(tblInventory[Stock Value],tblInventory[Distributor ID],A6,tblInventory[Snapshot Date],'02_Control_Panel'!$B$5)</f>
        <v>227850</v>
      </c>
      <c r="J6" s="85">
        <f>SUMIFS(tblCollections[Outstanding Amount],tblCollections[Distributor ID],A6)</f>
        <v>492000</v>
      </c>
      <c r="K6" s="74" t="str">
        <f t="shared" si="1"/>
        <v>Outstanding</v>
      </c>
      <c r="L6" s="74" t="str">
        <f>IF(COUNTIFS(tblInventory[Distributor ID],A6,tblInventory[Snapshot Date],'02_Control_Panel'!$B$5,tblInventory[Stock Status],"High Stock")&gt;0,"High Stock","Normal")</f>
        <v>Normal</v>
      </c>
      <c r="M6" s="74" t="str">
        <f t="shared" si="2"/>
        <v>Normal</v>
      </c>
      <c r="O6" s="92" t="s">
        <v>616</v>
      </c>
      <c r="P6" s="93">
        <f>SUM(tblDistributorAnalysis[Stock Value])</f>
        <v>3553500</v>
      </c>
      <c r="Q6" s="10"/>
    </row>
    <row r="7" spans="1:17">
      <c r="A7" s="74" t="s">
        <v>60</v>
      </c>
      <c r="B7" t="str">
        <f>IFERROR(INDEX(tblDistributors[Distributor Name],MATCH(A7,tblDistributors[Distributor ID],0)),"")</f>
        <v>Lahore Trading Co.</v>
      </c>
      <c r="C7" s="74" t="str">
        <f>IFERROR(INDEX(tblDistributors[City ID],MATCH(A7,tblDistributors[Distributor ID],0)),"")</f>
        <v>C002</v>
      </c>
      <c r="D7" s="74" t="str">
        <f>IFERROR(INDEX(tblDistributors[Salesperson ID],MATCH(A7,tblDistributors[Distributor ID],0)),"")</f>
        <v>SP004</v>
      </c>
      <c r="E7" s="85">
        <f>SUMIFS(tblSalesTransactions[Sales Amount],tblSalesTransactions[Distributor ID],A7)</f>
        <v>6362250</v>
      </c>
      <c r="F7" s="85">
        <f>COUNTIFS(tblSalesTransactions[Distributor ID],A7)</f>
        <v>25</v>
      </c>
      <c r="G7" s="85">
        <f t="shared" si="0"/>
        <v>254490</v>
      </c>
      <c r="H7" s="85">
        <f>SUMIFS(tblInventory[Closing Stock Qty],tblInventory[Distributor ID],A7,tblInventory[Snapshot Date],'02_Control_Panel'!$B$5)</f>
        <v>244</v>
      </c>
      <c r="I7" s="85">
        <f>SUMIFS(tblInventory[Stock Value],tblInventory[Distributor ID],A7,tblInventory[Snapshot Date],'02_Control_Panel'!$B$5)</f>
        <v>325100</v>
      </c>
      <c r="J7" s="85">
        <f>SUMIFS(tblCollections[Outstanding Amount],tblCollections[Distributor ID],A7)</f>
        <v>163000</v>
      </c>
      <c r="K7" s="74" t="str">
        <f t="shared" si="1"/>
        <v>Outstanding</v>
      </c>
      <c r="L7" s="74" t="str">
        <f>IF(COUNTIFS(tblInventory[Distributor ID],A7,tblInventory[Snapshot Date],'02_Control_Panel'!$B$5,tblInventory[Stock Status],"High Stock")&gt;0,"High Stock","Normal")</f>
        <v>High Stock</v>
      </c>
      <c r="M7" s="74" t="str">
        <f t="shared" si="2"/>
        <v>Potential Slow-Moving</v>
      </c>
      <c r="O7" s="92" t="s">
        <v>617</v>
      </c>
      <c r="P7" s="93">
        <f>SUM(tblDistributorAnalysis[Outstanding Amount])</f>
        <v>2654000</v>
      </c>
    </row>
    <row r="8" spans="1:17">
      <c r="A8" s="74" t="s">
        <v>62</v>
      </c>
      <c r="B8" t="str">
        <f>IFERROR(INDEX(tblDistributors[Distributor Name],MATCH(A8,tblDistributors[Distributor ID],0)),"")</f>
        <v>Punjab Distribution House</v>
      </c>
      <c r="C8" s="74" t="str">
        <f>IFERROR(INDEX(tblDistributors[City ID],MATCH(A8,tblDistributors[Distributor ID],0)),"")</f>
        <v>C002</v>
      </c>
      <c r="D8" s="74" t="str">
        <f>IFERROR(INDEX(tblDistributors[Salesperson ID],MATCH(A8,tblDistributors[Distributor ID],0)),"")</f>
        <v>SP005</v>
      </c>
      <c r="E8" s="85">
        <f>SUMIFS(tblSalesTransactions[Sales Amount],tblSalesTransactions[Distributor ID],A8)</f>
        <v>6537500</v>
      </c>
      <c r="F8" s="85">
        <f>COUNTIFS(tblSalesTransactions[Distributor ID],A8)</f>
        <v>25</v>
      </c>
      <c r="G8" s="85">
        <f t="shared" si="0"/>
        <v>261500</v>
      </c>
      <c r="H8" s="85">
        <f>SUMIFS(tblInventory[Closing Stock Qty],tblInventory[Distributor ID],A8,tblInventory[Snapshot Date],'02_Control_Panel'!$B$5)</f>
        <v>218</v>
      </c>
      <c r="I8" s="85">
        <f>SUMIFS(tblInventory[Stock Value],tblInventory[Distributor ID],A8,tblInventory[Snapshot Date],'02_Control_Panel'!$B$5)</f>
        <v>397800</v>
      </c>
      <c r="J8" s="85">
        <f>SUMIFS(tblCollections[Outstanding Amount],tblCollections[Distributor ID],A8)</f>
        <v>0</v>
      </c>
      <c r="K8" s="74" t="str">
        <f t="shared" si="1"/>
        <v>Paid</v>
      </c>
      <c r="L8" s="74" t="str">
        <f>IF(COUNTIFS(tblInventory[Distributor ID],A8,tblInventory[Snapshot Date],'02_Control_Panel'!$B$5,tblInventory[Stock Status],"High Stock")&gt;0,"High Stock","Normal")</f>
        <v>High Stock</v>
      </c>
      <c r="M8" s="74" t="str">
        <f t="shared" si="2"/>
        <v>Potential Slow-Moving</v>
      </c>
      <c r="O8" s="92" t="s">
        <v>618</v>
      </c>
      <c r="P8" s="93">
        <f>COUNTIF(tblDistributorAnalysis[Stock Status],"High Stock")</f>
        <v>5</v>
      </c>
    </row>
    <row r="9" spans="1:17" ht="15.75" thickBot="1">
      <c r="A9" s="74" t="s">
        <v>64</v>
      </c>
      <c r="B9" t="str">
        <f>IFERROR(INDEX(tblDistributors[Distributor Name],MATCH(A9,tblDistributors[Distributor ID],0)),"")</f>
        <v>Lahore Wholesale Mart</v>
      </c>
      <c r="C9" s="74" t="str">
        <f>IFERROR(INDEX(tblDistributors[City ID],MATCH(A9,tblDistributors[Distributor ID],0)),"")</f>
        <v>C002</v>
      </c>
      <c r="D9" s="74" t="str">
        <f>IFERROR(INDEX(tblDistributors[Salesperson ID],MATCH(A9,tblDistributors[Distributor ID],0)),"")</f>
        <v>SP006</v>
      </c>
      <c r="E9" s="85">
        <f>SUMIFS(tblSalesTransactions[Sales Amount],tblSalesTransactions[Distributor ID],A9)</f>
        <v>5038250</v>
      </c>
      <c r="F9" s="85">
        <f>COUNTIFS(tblSalesTransactions[Distributor ID],A9)</f>
        <v>25</v>
      </c>
      <c r="G9" s="85">
        <f t="shared" si="0"/>
        <v>201530</v>
      </c>
      <c r="H9" s="85">
        <f>SUMIFS(tblInventory[Closing Stock Qty],tblInventory[Distributor ID],A9,tblInventory[Snapshot Date],'02_Control_Panel'!$B$5)</f>
        <v>136</v>
      </c>
      <c r="I9" s="85">
        <f>SUMIFS(tblInventory[Stock Value],tblInventory[Distributor ID],A9,tblInventory[Snapshot Date],'02_Control_Panel'!$B$5)</f>
        <v>229000</v>
      </c>
      <c r="J9" s="85">
        <f>SUMIFS(tblCollections[Outstanding Amount],tblCollections[Distributor ID],A9)</f>
        <v>88000</v>
      </c>
      <c r="K9" s="74" t="str">
        <f t="shared" si="1"/>
        <v>Outstanding</v>
      </c>
      <c r="L9" s="74" t="str">
        <f>IF(COUNTIFS(tblInventory[Distributor ID],A9,tblInventory[Snapshot Date],'02_Control_Panel'!$B$5,tblInventory[Stock Status],"High Stock")&gt;0,"High Stock","Normal")</f>
        <v>Normal</v>
      </c>
      <c r="M9" s="74" t="str">
        <f t="shared" si="2"/>
        <v>Normal</v>
      </c>
      <c r="O9" s="94" t="s">
        <v>619</v>
      </c>
      <c r="P9" s="95">
        <f>COUNTIF(tblDistributorAnalysis[Potential Slow-Moving Indicator],"Potential Slow-Moving")</f>
        <v>5</v>
      </c>
    </row>
    <row r="10" spans="1:17">
      <c r="A10" s="74" t="s">
        <v>66</v>
      </c>
      <c r="B10" t="str">
        <f>IFERROR(INDEX(tblDistributors[Distributor Name],MATCH(A10,tblDistributors[Distributor ID],0)),"")</f>
        <v>Capital Distribution Co.</v>
      </c>
      <c r="C10" s="74" t="str">
        <f>IFERROR(INDEX(tblDistributors[City ID],MATCH(A10,tblDistributors[Distributor ID],0)),"")</f>
        <v>C003</v>
      </c>
      <c r="D10" s="74" t="str">
        <f>IFERROR(INDEX(tblDistributors[Salesperson ID],MATCH(A10,tblDistributors[Distributor ID],0)),"")</f>
        <v>SP007</v>
      </c>
      <c r="E10" s="85">
        <f>SUMIFS(tblSalesTransactions[Sales Amount],tblSalesTransactions[Distributor ID],A10)</f>
        <v>7064000</v>
      </c>
      <c r="F10" s="85">
        <f>COUNTIFS(tblSalesTransactions[Distributor ID],A10)</f>
        <v>25</v>
      </c>
      <c r="G10" s="85">
        <f t="shared" si="0"/>
        <v>282560</v>
      </c>
      <c r="H10" s="85">
        <f>SUMIFS(tblInventory[Closing Stock Qty],tblInventory[Distributor ID],A10,tblInventory[Snapshot Date],'02_Control_Panel'!$B$5)</f>
        <v>148</v>
      </c>
      <c r="I10" s="85">
        <f>SUMIFS(tblInventory[Stock Value],tblInventory[Distributor ID],A10,tblInventory[Snapshot Date],'02_Control_Panel'!$B$5)</f>
        <v>254300</v>
      </c>
      <c r="J10" s="85">
        <f>SUMIFS(tblCollections[Outstanding Amount],tblCollections[Distributor ID],A10)</f>
        <v>132000</v>
      </c>
      <c r="K10" s="74" t="str">
        <f t="shared" si="1"/>
        <v>Outstanding</v>
      </c>
      <c r="L10" s="74" t="str">
        <f>IF(COUNTIFS(tblInventory[Distributor ID],A10,tblInventory[Snapshot Date],'02_Control_Panel'!$B$5,tblInventory[Stock Status],"High Stock")&gt;0,"High Stock","Normal")</f>
        <v>Normal</v>
      </c>
      <c r="M10" s="74" t="str">
        <f t="shared" si="2"/>
        <v>Normal</v>
      </c>
    </row>
    <row r="11" spans="1:17">
      <c r="A11" s="74" t="s">
        <v>68</v>
      </c>
      <c r="B11" t="str">
        <f>IFERROR(INDEX(tblDistributors[Distributor Name],MATCH(A11,tblDistributors[Distributor ID],0)),"")</f>
        <v>Islamabad Trade Link</v>
      </c>
      <c r="C11" s="74" t="str">
        <f>IFERROR(INDEX(tblDistributors[City ID],MATCH(A11,tblDistributors[Distributor ID],0)),"")</f>
        <v>C003</v>
      </c>
      <c r="D11" s="74" t="str">
        <f>IFERROR(INDEX(tblDistributors[Salesperson ID],MATCH(A11,tblDistributors[Distributor ID],0)),"")</f>
        <v>SP008</v>
      </c>
      <c r="E11" s="85">
        <f>SUMIFS(tblSalesTransactions[Sales Amount],tblSalesTransactions[Distributor ID],A11)</f>
        <v>7393000</v>
      </c>
      <c r="F11" s="85">
        <f>COUNTIFS(tblSalesTransactions[Distributor ID],A11)</f>
        <v>25</v>
      </c>
      <c r="G11" s="85">
        <f t="shared" si="0"/>
        <v>295720</v>
      </c>
      <c r="H11" s="85">
        <f>SUMIFS(tblInventory[Closing Stock Qty],tblInventory[Distributor ID],A11,tblInventory[Snapshot Date],'02_Control_Panel'!$B$5)</f>
        <v>192</v>
      </c>
      <c r="I11" s="85">
        <f>SUMIFS(tblInventory[Stock Value],tblInventory[Distributor ID],A11,tblInventory[Snapshot Date],'02_Control_Panel'!$B$5)</f>
        <v>413450</v>
      </c>
      <c r="J11" s="85">
        <f>SUMIFS(tblCollections[Outstanding Amount],tblCollections[Distributor ID],A11)</f>
        <v>712000</v>
      </c>
      <c r="K11" s="74" t="str">
        <f t="shared" si="1"/>
        <v>Outstanding</v>
      </c>
      <c r="L11" s="74" t="str">
        <f>IF(COUNTIFS(tblInventory[Distributor ID],A11,tblInventory[Snapshot Date],'02_Control_Panel'!$B$5,tblInventory[Stock Status],"High Stock")&gt;0,"High Stock","Normal")</f>
        <v>High Stock</v>
      </c>
      <c r="M11" s="74" t="str">
        <f t="shared" si="2"/>
        <v>Potential Slow-Moving</v>
      </c>
    </row>
    <row r="12" spans="1:17">
      <c r="A12" s="74" t="s">
        <v>70</v>
      </c>
      <c r="B12" t="str">
        <f>IFERROR(INDEX(tblDistributors[Distributor Name],MATCH(A12,tblDistributors[Distributor ID],0)),"")</f>
        <v>Capital Wholesale Network</v>
      </c>
      <c r="C12" s="74" t="str">
        <f>IFERROR(INDEX(tblDistributors[City ID],MATCH(A12,tblDistributors[Distributor ID],0)),"")</f>
        <v>C003</v>
      </c>
      <c r="D12" s="74" t="str">
        <f>IFERROR(INDEX(tblDistributors[Salesperson ID],MATCH(A12,tblDistributors[Distributor ID],0)),"")</f>
        <v>SP009</v>
      </c>
      <c r="E12" s="85">
        <f>SUMIFS(tblSalesTransactions[Sales Amount],tblSalesTransactions[Distributor ID],A12)</f>
        <v>4437750</v>
      </c>
      <c r="F12" s="85">
        <f>COUNTIFS(tblSalesTransactions[Distributor ID],A12)</f>
        <v>25</v>
      </c>
      <c r="G12" s="85">
        <f t="shared" si="0"/>
        <v>177510</v>
      </c>
      <c r="H12" s="85">
        <f>SUMIFS(tblInventory[Closing Stock Qty],tblInventory[Distributor ID],A12,tblInventory[Snapshot Date],'02_Control_Panel'!$B$5)</f>
        <v>144</v>
      </c>
      <c r="I12" s="85">
        <f>SUMIFS(tblInventory[Stock Value],tblInventory[Distributor ID],A12,tblInventory[Snapshot Date],'02_Control_Panel'!$B$5)</f>
        <v>252650</v>
      </c>
      <c r="J12" s="85">
        <f>SUMIFS(tblCollections[Outstanding Amount],tblCollections[Distributor ID],A12)</f>
        <v>112000</v>
      </c>
      <c r="K12" s="74" t="str">
        <f t="shared" si="1"/>
        <v>Outstanding</v>
      </c>
      <c r="L12" s="74" t="str">
        <f>IF(COUNTIFS(tblInventory[Distributor ID],A12,tblInventory[Snapshot Date],'02_Control_Panel'!$B$5,tblInventory[Stock Status],"High Stock")&gt;0,"High Stock","Normal")</f>
        <v>Normal</v>
      </c>
      <c r="M12" s="74" t="str">
        <f t="shared" si="2"/>
        <v>Normal</v>
      </c>
    </row>
    <row r="13" spans="1:17">
      <c r="A13" s="74" t="s">
        <v>72</v>
      </c>
      <c r="B13" t="str">
        <f>IFERROR(INDEX(tblDistributors[Distributor Name],MATCH(A13,tblDistributors[Distributor ID],0)),"")</f>
        <v>Rawalpindi Distribution Co.</v>
      </c>
      <c r="C13" s="74" t="str">
        <f>IFERROR(INDEX(tblDistributors[City ID],MATCH(A13,tblDistributors[Distributor ID],0)),"")</f>
        <v>C004</v>
      </c>
      <c r="D13" s="74" t="str">
        <f>IFERROR(INDEX(tblDistributors[Salesperson ID],MATCH(A13,tblDistributors[Distributor ID],0)),"")</f>
        <v>SP010</v>
      </c>
      <c r="E13" s="85">
        <f>SUMIFS(tblSalesTransactions[Sales Amount],tblSalesTransactions[Distributor ID],A13)</f>
        <v>3992000</v>
      </c>
      <c r="F13" s="85">
        <f>COUNTIFS(tblSalesTransactions[Distributor ID],A13)</f>
        <v>25</v>
      </c>
      <c r="G13" s="85">
        <f t="shared" si="0"/>
        <v>159680</v>
      </c>
      <c r="H13" s="85">
        <f>SUMIFS(tblInventory[Closing Stock Qty],tblInventory[Distributor ID],A13,tblInventory[Snapshot Date],'02_Control_Panel'!$B$5)</f>
        <v>152</v>
      </c>
      <c r="I13" s="85">
        <f>SUMIFS(tblInventory[Stock Value],tblInventory[Distributor ID],A13,tblInventory[Snapshot Date],'02_Control_Panel'!$B$5)</f>
        <v>307900</v>
      </c>
      <c r="J13" s="85">
        <f>SUMIFS(tblCollections[Outstanding Amount],tblCollections[Distributor ID],A13)</f>
        <v>165000</v>
      </c>
      <c r="K13" s="74" t="str">
        <f t="shared" si="1"/>
        <v>Outstanding</v>
      </c>
      <c r="L13" s="74" t="str">
        <f>IF(COUNTIFS(tblInventory[Distributor ID],A13,tblInventory[Snapshot Date],'02_Control_Panel'!$B$5,tblInventory[Stock Status],"High Stock")&gt;0,"High Stock","Normal")</f>
        <v>Normal</v>
      </c>
      <c r="M13" s="74" t="str">
        <f t="shared" si="2"/>
        <v>Normal</v>
      </c>
    </row>
    <row r="14" spans="1:17">
      <c r="A14" s="74" t="s">
        <v>74</v>
      </c>
      <c r="B14" t="str">
        <f>IFERROR(INDEX(tblDistributors[Distributor Name],MATCH(A14,tblDistributors[Distributor ID],0)),"")</f>
        <v>Potohar Trade House</v>
      </c>
      <c r="C14" s="74" t="str">
        <f>IFERROR(INDEX(tblDistributors[City ID],MATCH(A14,tblDistributors[Distributor ID],0)),"")</f>
        <v>C004</v>
      </c>
      <c r="D14" s="74" t="str">
        <f>IFERROR(INDEX(tblDistributors[Salesperson ID],MATCH(A14,tblDistributors[Distributor ID],0)),"")</f>
        <v>SP011</v>
      </c>
      <c r="E14" s="85">
        <f>SUMIFS(tblSalesTransactions[Sales Amount],tblSalesTransactions[Distributor ID],A14)</f>
        <v>4153250</v>
      </c>
      <c r="F14" s="85">
        <f>COUNTIFS(tblSalesTransactions[Distributor ID],A14)</f>
        <v>25</v>
      </c>
      <c r="G14" s="85">
        <f t="shared" si="0"/>
        <v>166130</v>
      </c>
      <c r="H14" s="85">
        <f>SUMIFS(tblInventory[Closing Stock Qty],tblInventory[Distributor ID],A14,tblInventory[Snapshot Date],'02_Control_Panel'!$B$5)</f>
        <v>135</v>
      </c>
      <c r="I14" s="85">
        <f>SUMIFS(tblInventory[Stock Value],tblInventory[Distributor ID],A14,tblInventory[Snapshot Date],'02_Control_Panel'!$B$5)</f>
        <v>214850</v>
      </c>
      <c r="J14" s="85">
        <f>SUMIFS(tblCollections[Outstanding Amount],tblCollections[Distributor ID],A14)</f>
        <v>547000</v>
      </c>
      <c r="K14" s="74" t="str">
        <f t="shared" si="1"/>
        <v>Outstanding</v>
      </c>
      <c r="L14" s="74" t="str">
        <f>IF(COUNTIFS(tblInventory[Distributor ID],A14,tblInventory[Snapshot Date],'02_Control_Panel'!$B$5,tblInventory[Stock Status],"High Stock")&gt;0,"High Stock","Normal")</f>
        <v>Normal</v>
      </c>
      <c r="M14" s="74" t="str">
        <f t="shared" si="2"/>
        <v>Normal</v>
      </c>
    </row>
    <row r="15" spans="1:17">
      <c r="A15" s="74" t="s">
        <v>76</v>
      </c>
      <c r="B15" t="str">
        <f>IFERROR(INDEX(tblDistributors[Distributor Name],MATCH(A15,tblDistributors[Distributor ID],0)),"")</f>
        <v>Rawalpindi Wholesale Mart</v>
      </c>
      <c r="C15" s="74" t="str">
        <f>IFERROR(INDEX(tblDistributors[City ID],MATCH(A15,tblDistributors[Distributor ID],0)),"")</f>
        <v>C004</v>
      </c>
      <c r="D15" s="74" t="str">
        <f>IFERROR(INDEX(tblDistributors[Salesperson ID],MATCH(A15,tblDistributors[Distributor ID],0)),"")</f>
        <v>SP012</v>
      </c>
      <c r="E15" s="85">
        <f>SUMIFS(tblSalesTransactions[Sales Amount],tblSalesTransactions[Distributor ID],A15)</f>
        <v>3855750</v>
      </c>
      <c r="F15" s="85">
        <f>COUNTIFS(tblSalesTransactions[Distributor ID],A15)</f>
        <v>25</v>
      </c>
      <c r="G15" s="85">
        <f t="shared" si="0"/>
        <v>154230</v>
      </c>
      <c r="H15" s="85">
        <f>SUMIFS(tblInventory[Closing Stock Qty],tblInventory[Distributor ID],A15,tblInventory[Snapshot Date],'02_Control_Panel'!$B$5)</f>
        <v>144</v>
      </c>
      <c r="I15" s="85">
        <f>SUMIFS(tblInventory[Stock Value],tblInventory[Distributor ID],A15,tblInventory[Snapshot Date],'02_Control_Panel'!$B$5)</f>
        <v>212700</v>
      </c>
      <c r="J15" s="85">
        <f>SUMIFS(tblCollections[Outstanding Amount],tblCollections[Distributor ID],A15)</f>
        <v>243000</v>
      </c>
      <c r="K15" s="74" t="str">
        <f t="shared" si="1"/>
        <v>Outstanding</v>
      </c>
      <c r="L15" s="74" t="str">
        <f>IF(COUNTIFS(tblInventory[Distributor ID],A15,tblInventory[Snapshot Date],'02_Control_Panel'!$B$5,tblInventory[Stock Status],"High Stock")&gt;0,"High Stock","Normal")</f>
        <v>Normal</v>
      </c>
      <c r="M15" s="74" t="str">
        <f t="shared" si="2"/>
        <v>Normal</v>
      </c>
    </row>
    <row r="16" spans="1:17">
      <c r="E16" s="85">
        <f>SUBTOTAL(109,tblDistributorAnalysis[Total Sales])</f>
        <v>60255750</v>
      </c>
      <c r="F16" s="85"/>
      <c r="G16" s="85"/>
      <c r="H16" s="85">
        <f>SUBTOTAL(109,tblDistributorAnalysis[Closing Stock Qty])</f>
        <v>2128</v>
      </c>
      <c r="I16" s="85">
        <f>SUBTOTAL(109,tblDistributorAnalysis[Stock Value])</f>
        <v>3553500</v>
      </c>
      <c r="J16" s="85">
        <f>SUBTOTAL(109,tblDistributorAnalysis[Outstanding Amount])</f>
        <v>2654000</v>
      </c>
    </row>
  </sheetData>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ABE0-D48A-421D-8DF8-A48DBEF2FDAA}">
  <dimension ref="A1:V60"/>
  <sheetViews>
    <sheetView topLeftCell="A3" workbookViewId="0">
      <selection activeCell="A3" sqref="A3"/>
    </sheetView>
  </sheetViews>
  <sheetFormatPr defaultRowHeight="15"/>
  <cols>
    <col min="1" max="1" width="12.42578125" bestFit="1" customWidth="1"/>
    <col min="2" max="2" width="24.28515625" bestFit="1" customWidth="1"/>
    <col min="3" max="3" width="15.7109375" bestFit="1" customWidth="1"/>
    <col min="4" max="4" width="17.7109375" bestFit="1" customWidth="1"/>
    <col min="5" max="5" width="20.42578125" bestFit="1" customWidth="1"/>
    <col min="6" max="6" width="12.7109375" bestFit="1" customWidth="1"/>
    <col min="7" max="7" width="19.28515625" bestFit="1" customWidth="1"/>
    <col min="8" max="8" width="22.140625" bestFit="1" customWidth="1"/>
    <col min="9" max="9" width="29" bestFit="1" customWidth="1"/>
    <col min="10" max="10" width="24" bestFit="1" customWidth="1"/>
    <col min="11" max="11" width="21.85546875" bestFit="1" customWidth="1"/>
    <col min="12" max="12" width="35.7109375" bestFit="1" customWidth="1"/>
    <col min="13" max="13" width="12.5703125" bestFit="1" customWidth="1"/>
    <col min="14" max="15" width="18.85546875" customWidth="1"/>
    <col min="16" max="16" width="20.140625" bestFit="1" customWidth="1"/>
    <col min="17" max="17" width="18.85546875" customWidth="1"/>
    <col min="18" max="18" width="30" bestFit="1" customWidth="1"/>
    <col min="19" max="19" width="14.28515625" bestFit="1" customWidth="1"/>
  </cols>
  <sheetData>
    <row r="1" spans="1:22">
      <c r="A1" s="16" t="s">
        <v>620</v>
      </c>
    </row>
    <row r="2" spans="1:22">
      <c r="A2" s="2"/>
      <c r="B2" s="2"/>
      <c r="C2" s="2"/>
      <c r="D2" s="2"/>
      <c r="E2" s="2"/>
      <c r="F2" s="2"/>
      <c r="G2" s="2"/>
      <c r="H2" s="2"/>
      <c r="I2" s="2"/>
      <c r="J2" s="2"/>
      <c r="K2" s="2"/>
      <c r="L2" s="2"/>
      <c r="M2" s="2"/>
    </row>
    <row r="3" spans="1:22" ht="15.75" thickBot="1">
      <c r="A3" t="s">
        <v>78</v>
      </c>
      <c r="B3" t="s">
        <v>80</v>
      </c>
      <c r="C3" t="s">
        <v>79</v>
      </c>
      <c r="D3" t="s">
        <v>81</v>
      </c>
      <c r="E3" t="s">
        <v>621</v>
      </c>
      <c r="F3" t="s">
        <v>610</v>
      </c>
      <c r="G3" t="s">
        <v>611</v>
      </c>
      <c r="H3" t="s">
        <v>622</v>
      </c>
      <c r="I3" t="s">
        <v>629</v>
      </c>
      <c r="J3" t="s">
        <v>630</v>
      </c>
      <c r="K3" t="s">
        <v>623</v>
      </c>
      <c r="L3" t="s">
        <v>628</v>
      </c>
      <c r="M3" t="s">
        <v>626</v>
      </c>
      <c r="O3" s="16" t="s">
        <v>627</v>
      </c>
      <c r="R3" s="16" t="s">
        <v>624</v>
      </c>
    </row>
    <row r="4" spans="1:22" ht="15.75" thickBot="1">
      <c r="A4" s="74" t="s">
        <v>85</v>
      </c>
      <c r="B4" t="str">
        <f>IFERROR(INDEX(tblProducts[Product Name],MATCH(A4,tblProducts[Product ID],0)),"")</f>
        <v>Corn Flakes Original</v>
      </c>
      <c r="C4" t="str">
        <f>IFERROR(INDEX(tblProducts[Brand],MATCH(A4,tblProducts[Product ID],0)),"")</f>
        <v>Morning Harvest</v>
      </c>
      <c r="D4" t="str">
        <f>IFERROR(INDEX(tblProducts[Category],MATCH(A4,tblProducts[Product ID],0)),"")</f>
        <v>Morning Cereals</v>
      </c>
      <c r="E4" s="85">
        <f>SUMIFS(tblSalesTransactions[Quantity],tblSalesTransactions[Product ID],A4)</f>
        <v>1840</v>
      </c>
      <c r="F4" s="85">
        <f>SUMIFS(tblSalesTransactions[Sales Amount],tblSalesTransactions[Product ID],A4)</f>
        <v>1564000</v>
      </c>
      <c r="G4" s="85">
        <f>COUNTIFS(tblSalesTransactions[Product ID],A4)</f>
        <v>12</v>
      </c>
      <c r="H4" s="85">
        <f t="shared" ref="H4:H35" si="0">IFERROR(F4/E4,0)</f>
        <v>850</v>
      </c>
      <c r="I4" s="85">
        <f>SUMIFS(tblInventory[Closing Stock Qty],tblInventory[Product ID],A4,tblInventory[Snapshot Date],DATE(2026,12,31))</f>
        <v>141</v>
      </c>
      <c r="J4" s="85">
        <f>SUMIFS(tblInventory[Stock Value],tblInventory[Product ID],A4,tblInventory[Snapshot Date],DATE(2026,12,31))</f>
        <v>119850</v>
      </c>
      <c r="K4" s="13">
        <f>IFERROR(F4/SUM(tblProductAnalysis[Total Sales]),0)</f>
        <v>2.5956029092659205E-2</v>
      </c>
      <c r="L4" s="17">
        <f t="shared" ref="L4:L35" si="1">IFERROR(I4/(E4/12),0)</f>
        <v>0.91956521739130426</v>
      </c>
      <c r="M4" s="78">
        <f>RANK(F4,$F$4:$F$59,0)+COUNTIF($F$4:F4,F4)-1</f>
        <v>20</v>
      </c>
      <c r="N4" s="17"/>
      <c r="O4" s="105" t="s">
        <v>78</v>
      </c>
      <c r="P4" s="106" t="s">
        <v>80</v>
      </c>
      <c r="Q4" s="107" t="s">
        <v>610</v>
      </c>
      <c r="R4" s="102" t="s">
        <v>625</v>
      </c>
      <c r="S4" s="112">
        <f>COUNTA(tblProductAnalysis[Product ID])</f>
        <v>56</v>
      </c>
      <c r="T4" s="10"/>
      <c r="U4" s="10"/>
      <c r="V4" s="10"/>
    </row>
    <row r="5" spans="1:22">
      <c r="A5" s="74" t="s">
        <v>92</v>
      </c>
      <c r="B5" t="str">
        <f>IFERROR(INDEX(tblProducts[Product Name],MATCH(A5,tblProducts[Product ID],0)),"")</f>
        <v>Corn Flakes Original</v>
      </c>
      <c r="C5" t="str">
        <f>IFERROR(INDEX(tblProducts[Brand],MATCH(A5,tblProducts[Product ID],0)),"")</f>
        <v>Morning Harvest</v>
      </c>
      <c r="D5" t="str">
        <f>IFERROR(INDEX(tblProducts[Category],MATCH(A5,tblProducts[Product ID],0)),"")</f>
        <v>Morning Cereals</v>
      </c>
      <c r="E5" s="85">
        <f>SUMIFS(tblSalesTransactions[Quantity],tblSalesTransactions[Product ID],A5)</f>
        <v>350</v>
      </c>
      <c r="F5" s="85">
        <f>SUMIFS(tblSalesTransactions[Sales Amount],tblSalesTransactions[Product ID],A5)</f>
        <v>507500</v>
      </c>
      <c r="G5" s="85">
        <f>COUNTIFS(tblSalesTransactions[Product ID],A5)</f>
        <v>3</v>
      </c>
      <c r="H5" s="85">
        <f t="shared" si="0"/>
        <v>1450</v>
      </c>
      <c r="I5" s="85">
        <f>SUMIFS(tblInventory[Closing Stock Qty],tblInventory[Product ID],A5,tblInventory[Snapshot Date],DATE(2026,12,31))</f>
        <v>56</v>
      </c>
      <c r="J5" s="85">
        <f>SUMIFS(tblInventory[Stock Value],tblInventory[Product ID],A5,tblInventory[Snapshot Date],DATE(2026,12,31))</f>
        <v>81200</v>
      </c>
      <c r="K5" s="13">
        <f>IFERROR(F5/SUM(tblProductAnalysis[Total Sales]),0)</f>
        <v>8.4224327138903762E-3</v>
      </c>
      <c r="L5" s="17">
        <f t="shared" si="1"/>
        <v>1.92</v>
      </c>
      <c r="M5" s="78">
        <f>RANK(F5,$F$4:$F$59,0)+COUNTIF($F$4:F5,F5)-1</f>
        <v>30</v>
      </c>
      <c r="N5" s="17"/>
      <c r="O5" s="96" t="str">
        <f>IFERROR(INDEX($A$4:$A$59,MATCH(ROWS($O$5:O5),$M$4:$M$59,0)),"")</f>
        <v>P038</v>
      </c>
      <c r="P5" s="97" t="str">
        <f>IFERROR(INDEX($B$4:$B$59,MATCH(ROWS($P$5:P5),$M$4:$M$59,0)),"")</f>
        <v>Pandoro Classico</v>
      </c>
      <c r="Q5" s="108">
        <f>IFERROR(INDEX($F$4:$F$59,MATCH(ROWS($Q$5:Q5),$M$4:$M$59,0)),0)</f>
        <v>4060000</v>
      </c>
      <c r="R5" s="103" t="s">
        <v>621</v>
      </c>
      <c r="S5" s="110">
        <f>SUM(tblProductAnalysis[Total Quantity Sold])</f>
        <v>38025</v>
      </c>
      <c r="T5" s="10"/>
    </row>
    <row r="6" spans="1:22">
      <c r="A6" s="74" t="s">
        <v>94</v>
      </c>
      <c r="B6" t="str">
        <f>IFERROR(INDEX(tblProducts[Product Name],MATCH(A6,tblProducts[Product ID],0)),"")</f>
        <v>Corn Flakes Original</v>
      </c>
      <c r="C6" t="str">
        <f>IFERROR(INDEX(tblProducts[Brand],MATCH(A6,tblProducts[Product ID],0)),"")</f>
        <v>Morning Harvest</v>
      </c>
      <c r="D6" t="str">
        <f>IFERROR(INDEX(tblProducts[Category],MATCH(A6,tblProducts[Product ID],0)),"")</f>
        <v>Morning Cereals</v>
      </c>
      <c r="E6" s="85">
        <f>SUMIFS(tblSalesTransactions[Quantity],tblSalesTransactions[Product ID],A6)</f>
        <v>1495</v>
      </c>
      <c r="F6" s="85">
        <f>SUMIFS(tblSalesTransactions[Sales Amount],tblSalesTransactions[Product ID],A6)</f>
        <v>4036500</v>
      </c>
      <c r="G6" s="85">
        <f>COUNTIFS(tblSalesTransactions[Product ID],A6)</f>
        <v>12</v>
      </c>
      <c r="H6" s="85">
        <f t="shared" si="0"/>
        <v>2700</v>
      </c>
      <c r="I6" s="85">
        <f>SUMIFS(tblInventory[Closing Stock Qty],tblInventory[Product ID],A6,tblInventory[Snapshot Date],DATE(2026,12,31))</f>
        <v>58</v>
      </c>
      <c r="J6" s="85">
        <f>SUMIFS(tblInventory[Stock Value],tblInventory[Product ID],A6,tblInventory[Snapshot Date],DATE(2026,12,31))</f>
        <v>84100</v>
      </c>
      <c r="K6" s="13">
        <f>IFERROR(F6/SUM(tblProductAnalysis[Total Sales]),0)</f>
        <v>6.6989457437671929E-2</v>
      </c>
      <c r="L6" s="17">
        <f t="shared" si="1"/>
        <v>0.46555183946488299</v>
      </c>
      <c r="M6" s="78">
        <f>RANK(F6,$F$4:$F$59,0)+COUNTIF($F$4:F6,F6)-1</f>
        <v>2</v>
      </c>
      <c r="N6" s="17"/>
      <c r="O6" s="98" t="str">
        <f>IFERROR(INDEX($A$4:$A$59,MATCH(ROWS($O$5:O6),$M$4:$M$59,0)),"")</f>
        <v>P003</v>
      </c>
      <c r="P6" s="99" t="str">
        <f>IFERROR(INDEX($B$4:$B$59,MATCH(ROWS($P$5:P6),$M$4:$M$59,0)),"")</f>
        <v>Corn Flakes Original</v>
      </c>
      <c r="Q6" s="109">
        <f>IFERROR(INDEX($F$4:$F$59,MATCH(ROWS($Q$5:Q6),$M$4:$M$59,0)),0)</f>
        <v>4036500</v>
      </c>
      <c r="R6" s="103" t="s">
        <v>610</v>
      </c>
      <c r="S6" s="110">
        <f>SUM(tblProductAnalysis[Total Sales])</f>
        <v>60255750</v>
      </c>
      <c r="T6" s="10"/>
    </row>
    <row r="7" spans="1:22" ht="15.75" thickBot="1">
      <c r="A7" s="74" t="s">
        <v>96</v>
      </c>
      <c r="B7" t="str">
        <f>IFERROR(INDEX(tblProducts[Product Name],MATCH(A7,tblProducts[Product ID],0)),"")</f>
        <v>Honey Corn Flakes</v>
      </c>
      <c r="C7" t="str">
        <f>IFERROR(INDEX(tblProducts[Brand],MATCH(A7,tblProducts[Product ID],0)),"")</f>
        <v>Morning Harvest</v>
      </c>
      <c r="D7" t="str">
        <f>IFERROR(INDEX(tblProducts[Category],MATCH(A7,tblProducts[Product ID],0)),"")</f>
        <v>Morning Cereals</v>
      </c>
      <c r="E7" s="85">
        <f>SUMIFS(tblSalesTransactions[Quantity],tblSalesTransactions[Product ID],A7)</f>
        <v>2015</v>
      </c>
      <c r="F7" s="85">
        <f>SUMIFS(tblSalesTransactions[Sales Amount],tblSalesTransactions[Product ID],A7)</f>
        <v>1813500</v>
      </c>
      <c r="G7" s="85">
        <f>COUNTIFS(tblSalesTransactions[Product ID],A7)</f>
        <v>12</v>
      </c>
      <c r="H7" s="85">
        <f t="shared" si="0"/>
        <v>900</v>
      </c>
      <c r="I7" s="85">
        <f>SUMIFS(tblInventory[Closing Stock Qty],tblInventory[Product ID],A7,tblInventory[Snapshot Date],DATE(2026,12,31))</f>
        <v>116</v>
      </c>
      <c r="J7" s="85">
        <f>SUMIFS(tblInventory[Stock Value],tblInventory[Product ID],A7,tblInventory[Snapshot Date],DATE(2026,12,31))</f>
        <v>104400</v>
      </c>
      <c r="K7" s="13">
        <f>IFERROR(F7/SUM(tblProductAnalysis[Total Sales]),0)</f>
        <v>3.0096712761852603E-2</v>
      </c>
      <c r="L7" s="17">
        <f t="shared" si="1"/>
        <v>0.69081885856079406</v>
      </c>
      <c r="M7" s="78">
        <f>RANK(F7,$F$4:$F$59,0)+COUNTIF($F$4:F7,F7)-1</f>
        <v>18</v>
      </c>
      <c r="N7" s="17"/>
      <c r="O7" s="98" t="str">
        <f>IFERROR(INDEX($A$4:$A$59,MATCH(ROWS($O$5:O7),$M$4:$M$59,0)),"")</f>
        <v>P036</v>
      </c>
      <c r="P7" s="99" t="str">
        <f>IFERROR(INDEX($B$4:$B$59,MATCH(ROWS($P$5:P7),$M$4:$M$59,0)),"")</f>
        <v>Chocolate Panettone</v>
      </c>
      <c r="Q7" s="109">
        <f>IFERROR(INDEX($F$4:$F$59,MATCH(ROWS($Q$5:Q7),$M$4:$M$59,0)),0)</f>
        <v>3712500</v>
      </c>
      <c r="R7" s="104" t="s">
        <v>631</v>
      </c>
      <c r="S7" s="111">
        <f>SUM(tblProductAnalysis[Distributor Stock Value])</f>
        <v>3553500</v>
      </c>
      <c r="T7" s="10"/>
    </row>
    <row r="8" spans="1:22">
      <c r="A8" s="74" t="s">
        <v>98</v>
      </c>
      <c r="B8" t="str">
        <f>IFERROR(INDEX(tblProducts[Product Name],MATCH(A8,tblProducts[Product ID],0)),"")</f>
        <v>Honey Corn Flakes</v>
      </c>
      <c r="C8" t="str">
        <f>IFERROR(INDEX(tblProducts[Brand],MATCH(A8,tblProducts[Product ID],0)),"")</f>
        <v>Morning Harvest</v>
      </c>
      <c r="D8" t="str">
        <f>IFERROR(INDEX(tblProducts[Category],MATCH(A8,tblProducts[Product ID],0)),"")</f>
        <v>Morning Cereals</v>
      </c>
      <c r="E8" s="85">
        <f>SUMIFS(tblSalesTransactions[Quantity],tblSalesTransactions[Product ID],A8)</f>
        <v>2005</v>
      </c>
      <c r="F8" s="85">
        <f>SUMIFS(tblSalesTransactions[Sales Amount],tblSalesTransactions[Product ID],A8)</f>
        <v>1904750</v>
      </c>
      <c r="G8" s="85">
        <f>COUNTIFS(tblSalesTransactions[Product ID],A8)</f>
        <v>13</v>
      </c>
      <c r="H8" s="85">
        <f t="shared" si="0"/>
        <v>950</v>
      </c>
      <c r="I8" s="85">
        <f>SUMIFS(tblInventory[Closing Stock Qty],tblInventory[Product ID],A8,tblInventory[Snapshot Date],DATE(2026,12,31))</f>
        <v>51</v>
      </c>
      <c r="J8" s="85">
        <f>SUMIFS(tblInventory[Stock Value],tblInventory[Product ID],A8,tblInventory[Snapshot Date],DATE(2026,12,31))</f>
        <v>48450</v>
      </c>
      <c r="K8" s="13">
        <f>IFERROR(F8/SUM(tblProductAnalysis[Total Sales]),0)</f>
        <v>3.1611091057699887E-2</v>
      </c>
      <c r="L8" s="17">
        <f t="shared" si="1"/>
        <v>0.3052369077306733</v>
      </c>
      <c r="M8" s="78">
        <f>RANK(F8,$F$4:$F$59,0)+COUNTIF($F$4:F8,F8)-1</f>
        <v>15</v>
      </c>
      <c r="N8" s="17"/>
      <c r="O8" s="98" t="str">
        <f>IFERROR(INDEX($A$4:$A$59,MATCH(ROWS($O$5:O8),$M$4:$M$59,0)),"")</f>
        <v>P032</v>
      </c>
      <c r="P8" s="99" t="str">
        <f>IFERROR(INDEX($B$4:$B$59,MATCH(ROWS($P$5:P8),$M$4:$M$59,0)),"")</f>
        <v>Classic Panettone</v>
      </c>
      <c r="Q8" s="110">
        <f>IFERROR(INDEX($F$4:$F$59,MATCH(ROWS($Q$5:Q8),$M$4:$M$59,0)),0)</f>
        <v>3487000</v>
      </c>
      <c r="T8" s="10"/>
    </row>
    <row r="9" spans="1:22">
      <c r="A9" s="74" t="s">
        <v>99</v>
      </c>
      <c r="B9" t="str">
        <f>IFERROR(INDEX(tblProducts[Product Name],MATCH(A9,tblProducts[Product ID],0)),"")</f>
        <v>Chocolate Corn Flakes</v>
      </c>
      <c r="C9" t="str">
        <f>IFERROR(INDEX(tblProducts[Brand],MATCH(A9,tblProducts[Product ID],0)),"")</f>
        <v>Morning Harvest</v>
      </c>
      <c r="D9" t="str">
        <f>IFERROR(INDEX(tblProducts[Category],MATCH(A9,tblProducts[Product ID],0)),"")</f>
        <v>Morning Cereals</v>
      </c>
      <c r="E9" s="85">
        <f>SUMIFS(tblSalesTransactions[Quantity],tblSalesTransactions[Product ID],A9)</f>
        <v>650</v>
      </c>
      <c r="F9" s="85">
        <f>SUMIFS(tblSalesTransactions[Sales Amount],tblSalesTransactions[Product ID],A9)</f>
        <v>747500</v>
      </c>
      <c r="G9" s="85">
        <f>COUNTIFS(tblSalesTransactions[Product ID],A9)</f>
        <v>6</v>
      </c>
      <c r="H9" s="85">
        <f t="shared" si="0"/>
        <v>1150</v>
      </c>
      <c r="I9" s="85">
        <f>SUMIFS(tblInventory[Closing Stock Qty],tblInventory[Product ID],A9,tblInventory[Snapshot Date],DATE(2026,12,31))</f>
        <v>54</v>
      </c>
      <c r="J9" s="85">
        <f>SUMIFS(tblInventory[Stock Value],tblInventory[Product ID],A9,tblInventory[Snapshot Date],DATE(2026,12,31))</f>
        <v>62100</v>
      </c>
      <c r="K9" s="13">
        <f>IFERROR(F9/SUM(tblProductAnalysis[Total Sales]),0)</f>
        <v>1.2405455081050357E-2</v>
      </c>
      <c r="L9" s="17">
        <f t="shared" si="1"/>
        <v>0.99692307692307691</v>
      </c>
      <c r="M9" s="78">
        <f>RANK(F9,$F$4:$F$59,0)+COUNTIF($F$4:F9,F9)-1</f>
        <v>28</v>
      </c>
      <c r="N9" s="17"/>
      <c r="O9" s="98" t="str">
        <f>IFERROR(INDEX($A$4:$A$59,MATCH(ROWS($O$5:O9),$M$4:$M$59,0)),"")</f>
        <v>P035</v>
      </c>
      <c r="P9" s="99" t="str">
        <f>IFERROR(INDEX($B$4:$B$59,MATCH(ROWS($P$5:P9),$M$4:$M$59,0)),"")</f>
        <v>Chocolate Panettone</v>
      </c>
      <c r="Q9" s="110">
        <f>IFERROR(INDEX($F$4:$F$59,MATCH(ROWS($Q$5:Q9),$M$4:$M$59,0)),0)</f>
        <v>3240000</v>
      </c>
      <c r="T9" s="10"/>
    </row>
    <row r="10" spans="1:22">
      <c r="A10" s="74" t="s">
        <v>101</v>
      </c>
      <c r="B10" t="str">
        <f>IFERROR(INDEX(tblProducts[Product Name],MATCH(A10,tblProducts[Product ID],0)),"")</f>
        <v>Chocolate Corn Flakes</v>
      </c>
      <c r="C10" t="str">
        <f>IFERROR(INDEX(tblProducts[Brand],MATCH(A10,tblProducts[Product ID],0)),"")</f>
        <v>Morning Harvest</v>
      </c>
      <c r="D10" t="str">
        <f>IFERROR(INDEX(tblProducts[Category],MATCH(A10,tblProducts[Product ID],0)),"")</f>
        <v>Morning Cereals</v>
      </c>
      <c r="E10" s="85">
        <f>SUMIFS(tblSalesTransactions[Quantity],tblSalesTransactions[Product ID],A10)</f>
        <v>705</v>
      </c>
      <c r="F10" s="85">
        <f>SUMIFS(tblSalesTransactions[Sales Amount],tblSalesTransactions[Product ID],A10)</f>
        <v>846000</v>
      </c>
      <c r="G10" s="85">
        <f>COUNTIFS(tblSalesTransactions[Product ID],A10)</f>
        <v>6</v>
      </c>
      <c r="H10" s="85">
        <f t="shared" si="0"/>
        <v>1200</v>
      </c>
      <c r="I10" s="85">
        <f>SUMIFS(tblInventory[Closing Stock Qty],tblInventory[Product ID],A10,tblInventory[Snapshot Date],DATE(2026,12,31))</f>
        <v>49</v>
      </c>
      <c r="J10" s="85">
        <f>SUMIFS(tblInventory[Stock Value],tblInventory[Product ID],A10,tblInventory[Snapshot Date],DATE(2026,12,31))</f>
        <v>58800</v>
      </c>
      <c r="K10" s="13">
        <f>IFERROR(F10/SUM(tblProductAnalysis[Total Sales]),0)</f>
        <v>1.4040153844238932E-2</v>
      </c>
      <c r="L10" s="17">
        <f t="shared" si="1"/>
        <v>0.83404255319148934</v>
      </c>
      <c r="M10" s="78">
        <f>RANK(F10,$F$4:$F$59,0)+COUNTIF($F$4:F10,F10)-1</f>
        <v>26</v>
      </c>
      <c r="N10" s="17"/>
      <c r="O10" s="98" t="str">
        <f>IFERROR(INDEX($A$4:$A$59,MATCH(ROWS($O$5:O10),$M$4:$M$59,0)),"")</f>
        <v>P015</v>
      </c>
      <c r="P10" s="99" t="str">
        <f>IFERROR(INDEX($B$4:$B$59,MATCH(ROWS($P$5:P10),$M$4:$M$59,0)),"")</f>
        <v>Muesli Classic</v>
      </c>
      <c r="Q10" s="110">
        <f>IFERROR(INDEX($F$4:$F$59,MATCH(ROWS($Q$5:Q10),$M$4:$M$59,0)),0)</f>
        <v>3198000</v>
      </c>
      <c r="T10" s="10"/>
    </row>
    <row r="11" spans="1:22">
      <c r="A11" s="74" t="s">
        <v>102</v>
      </c>
      <c r="B11" t="str">
        <f>IFERROR(INDEX(tblProducts[Product Name],MATCH(A11,tblProducts[Product ID],0)),"")</f>
        <v>Frosted Flakes</v>
      </c>
      <c r="C11" t="str">
        <f>IFERROR(INDEX(tblProducts[Brand],MATCH(A11,tblProducts[Product ID],0)),"")</f>
        <v>Morning Harvest</v>
      </c>
      <c r="D11" t="str">
        <f>IFERROR(INDEX(tblProducts[Category],MATCH(A11,tblProducts[Product ID],0)),"")</f>
        <v>Morning Cereals</v>
      </c>
      <c r="E11" s="85">
        <f>SUMIFS(tblSalesTransactions[Quantity],tblSalesTransactions[Product ID],A11)</f>
        <v>1575</v>
      </c>
      <c r="F11" s="85">
        <f>SUMIFS(tblSalesTransactions[Sales Amount],tblSalesTransactions[Product ID],A11)</f>
        <v>1732500</v>
      </c>
      <c r="G11" s="85">
        <f>COUNTIFS(tblSalesTransactions[Product ID],A11)</f>
        <v>12</v>
      </c>
      <c r="H11" s="85">
        <f t="shared" si="0"/>
        <v>1100</v>
      </c>
      <c r="I11" s="85">
        <f>SUMIFS(tblInventory[Closing Stock Qty],tblInventory[Product ID],A11,tblInventory[Snapshot Date],DATE(2026,12,31))</f>
        <v>50</v>
      </c>
      <c r="J11" s="85">
        <f>SUMIFS(tblInventory[Stock Value],tblInventory[Product ID],A11,tblInventory[Snapshot Date],DATE(2026,12,31))</f>
        <v>60000</v>
      </c>
      <c r="K11" s="13">
        <f>IFERROR(F11/SUM(tblProductAnalysis[Total Sales]),0)</f>
        <v>2.8752442712936109E-2</v>
      </c>
      <c r="L11" s="17">
        <f t="shared" si="1"/>
        <v>0.38095238095238093</v>
      </c>
      <c r="M11" s="78">
        <f>RANK(F11,$F$4:$F$59,0)+COUNTIF($F$4:F11,F11)-1</f>
        <v>19</v>
      </c>
      <c r="N11" s="17"/>
      <c r="O11" s="98" t="str">
        <f>IFERROR(INDEX($A$4:$A$59,MATCH(ROWS($O$5:O11),$M$4:$M$59,0)),"")</f>
        <v>P021</v>
      </c>
      <c r="P11" s="99" t="str">
        <f>IFERROR(INDEX($B$4:$B$59,MATCH(ROWS($P$5:P11),$M$4:$M$59,0)),"")</f>
        <v>Granola Honey</v>
      </c>
      <c r="Q11" s="110">
        <f>IFERROR(INDEX($F$4:$F$59,MATCH(ROWS($Q$5:Q11),$M$4:$M$59,0)),0)</f>
        <v>2904000</v>
      </c>
      <c r="T11" s="10"/>
    </row>
    <row r="12" spans="1:22">
      <c r="A12" s="74" t="s">
        <v>105</v>
      </c>
      <c r="B12" t="str">
        <f>IFERROR(INDEX(tblProducts[Product Name],MATCH(A12,tblProducts[Product ID],0)),"")</f>
        <v>Frosted Flakes</v>
      </c>
      <c r="C12" t="str">
        <f>IFERROR(INDEX(tblProducts[Brand],MATCH(A12,tblProducts[Product ID],0)),"")</f>
        <v>Morning Harvest</v>
      </c>
      <c r="D12" t="str">
        <f>IFERROR(INDEX(tblProducts[Category],MATCH(A12,tblProducts[Product ID],0)),"")</f>
        <v>Morning Cereals</v>
      </c>
      <c r="E12" s="85">
        <f>SUMIFS(tblSalesTransactions[Quantity],tblSalesTransactions[Product ID],A12)</f>
        <v>0</v>
      </c>
      <c r="F12" s="85">
        <f>SUMIFS(tblSalesTransactions[Sales Amount],tblSalesTransactions[Product ID],A12)</f>
        <v>0</v>
      </c>
      <c r="G12" s="85">
        <f>COUNTIFS(tblSalesTransactions[Product ID],A12)</f>
        <v>0</v>
      </c>
      <c r="H12" s="85">
        <f t="shared" si="0"/>
        <v>0</v>
      </c>
      <c r="I12" s="85">
        <f>SUMIFS(tblInventory[Closing Stock Qty],tblInventory[Product ID],A12,tblInventory[Snapshot Date],DATE(2026,12,31))</f>
        <v>48</v>
      </c>
      <c r="J12" s="85">
        <f>SUMIFS(tblInventory[Stock Value],tblInventory[Product ID],A12,tblInventory[Snapshot Date],DATE(2026,12,31))</f>
        <v>57600</v>
      </c>
      <c r="K12" s="13">
        <f>IFERROR(F12/SUM(tblProductAnalysis[Total Sales]),0)</f>
        <v>0</v>
      </c>
      <c r="L12" s="17">
        <f t="shared" si="1"/>
        <v>0</v>
      </c>
      <c r="M12" s="78">
        <f>RANK(F12,$F$4:$F$59,0)+COUNTIF($F$4:F12,F12)-1</f>
        <v>36</v>
      </c>
      <c r="N12" s="17"/>
      <c r="O12" s="98" t="str">
        <f>IFERROR(INDEX($A$4:$A$59,MATCH(ROWS($O$5:O12),$M$4:$M$59,0)),"")</f>
        <v>P049</v>
      </c>
      <c r="P12" s="99" t="str">
        <f>IFERROR(INDEX($B$4:$B$59,MATCH(ROWS($P$5:P12),$M$4:$M$59,0)),"")</f>
        <v>Mini Croissant Classic</v>
      </c>
      <c r="Q12" s="110">
        <f>IFERROR(INDEX($F$4:$F$59,MATCH(ROWS($Q$5:Q12),$M$4:$M$59,0)),0)</f>
        <v>2519000</v>
      </c>
      <c r="T12" s="10"/>
    </row>
    <row r="13" spans="1:22">
      <c r="A13" s="74" t="s">
        <v>106</v>
      </c>
      <c r="B13" t="str">
        <f>IFERROR(INDEX(tblProducts[Product Name],MATCH(A13,tblProducts[Product ID],0)),"")</f>
        <v>Bran Flakes</v>
      </c>
      <c r="C13" t="str">
        <f>IFERROR(INDEX(tblProducts[Brand],MATCH(A13,tblProducts[Product ID],0)),"")</f>
        <v>Morning Harvest</v>
      </c>
      <c r="D13" t="str">
        <f>IFERROR(INDEX(tblProducts[Category],MATCH(A13,tblProducts[Product ID],0)),"")</f>
        <v>Morning Cereals</v>
      </c>
      <c r="E13" s="85">
        <f>SUMIFS(tblSalesTransactions[Quantity],tblSalesTransactions[Product ID],A13)</f>
        <v>0</v>
      </c>
      <c r="F13" s="85">
        <f>SUMIFS(tblSalesTransactions[Sales Amount],tblSalesTransactions[Product ID],A13)</f>
        <v>0</v>
      </c>
      <c r="G13" s="85">
        <f>COUNTIFS(tblSalesTransactions[Product ID],A13)</f>
        <v>0</v>
      </c>
      <c r="H13" s="85">
        <f t="shared" si="0"/>
        <v>0</v>
      </c>
      <c r="I13" s="85">
        <f>SUMIFS(tblInventory[Closing Stock Qty],tblInventory[Product ID],A13,tblInventory[Snapshot Date],DATE(2026,12,31))</f>
        <v>54</v>
      </c>
      <c r="J13" s="85">
        <f>SUMIFS(tblInventory[Stock Value],tblInventory[Product ID],A13,tblInventory[Snapshot Date],DATE(2026,12,31))</f>
        <v>78300</v>
      </c>
      <c r="K13" s="13">
        <f>IFERROR(F13/SUM(tblProductAnalysis[Total Sales]),0)</f>
        <v>0</v>
      </c>
      <c r="L13" s="17">
        <f t="shared" si="1"/>
        <v>0</v>
      </c>
      <c r="M13" s="78">
        <f>RANK(F13,$F$4:$F$59,0)+COUNTIF($F$4:F13,F13)-1</f>
        <v>37</v>
      </c>
      <c r="N13" s="17"/>
      <c r="O13" s="98" t="str">
        <f>IFERROR(INDEX($A$4:$A$59,MATCH(ROWS($O$5:O13),$M$4:$M$59,0)),"")</f>
        <v>P042</v>
      </c>
      <c r="P13" s="99" t="str">
        <f>IFERROR(INDEX($B$4:$B$59,MATCH(ROWS($P$5:P13),$M$4:$M$59,0)),"")</f>
        <v>Chocolate Cake</v>
      </c>
      <c r="Q13" s="110">
        <f>IFERROR(INDEX($F$4:$F$59,MATCH(ROWS($Q$5:Q13),$M$4:$M$59,0)),0)</f>
        <v>2385000</v>
      </c>
      <c r="T13" s="10"/>
    </row>
    <row r="14" spans="1:22" ht="15.75" thickBot="1">
      <c r="A14" s="74" t="s">
        <v>109</v>
      </c>
      <c r="B14" t="str">
        <f>IFERROR(INDEX(tblProducts[Product Name],MATCH(A14,tblProducts[Product ID],0)),"")</f>
        <v>Bran Flakes</v>
      </c>
      <c r="C14" t="str">
        <f>IFERROR(INDEX(tblProducts[Brand],MATCH(A14,tblProducts[Product ID],0)),"")</f>
        <v>Morning Harvest</v>
      </c>
      <c r="D14" t="str">
        <f>IFERROR(INDEX(tblProducts[Category],MATCH(A14,tblProducts[Product ID],0)),"")</f>
        <v>Morning Cereals</v>
      </c>
      <c r="E14" s="85">
        <f>SUMIFS(tblSalesTransactions[Quantity],tblSalesTransactions[Product ID],A14)</f>
        <v>0</v>
      </c>
      <c r="F14" s="85">
        <f>SUMIFS(tblSalesTransactions[Sales Amount],tblSalesTransactions[Product ID],A14)</f>
        <v>0</v>
      </c>
      <c r="G14" s="85">
        <f>COUNTIFS(tblSalesTransactions[Product ID],A14)</f>
        <v>0</v>
      </c>
      <c r="H14" s="85">
        <f t="shared" si="0"/>
        <v>0</v>
      </c>
      <c r="I14" s="85">
        <f>SUMIFS(tblInventory[Closing Stock Qty],tblInventory[Product ID],A14,tblInventory[Snapshot Date],DATE(2026,12,31))</f>
        <v>0</v>
      </c>
      <c r="J14" s="85">
        <f>SUMIFS(tblInventory[Stock Value],tblInventory[Product ID],A14,tblInventory[Snapshot Date],DATE(2026,12,31))</f>
        <v>0</v>
      </c>
      <c r="K14" s="13">
        <f>IFERROR(F14/SUM(tblProductAnalysis[Total Sales]),0)</f>
        <v>0</v>
      </c>
      <c r="L14" s="17">
        <f t="shared" si="1"/>
        <v>0</v>
      </c>
      <c r="M14" s="78">
        <f>RANK(F14,$F$4:$F$59,0)+COUNTIF($F$4:F14,F14)-1</f>
        <v>38</v>
      </c>
      <c r="N14" s="17"/>
      <c r="O14" s="100" t="str">
        <f>IFERROR(INDEX($A$4:$A$59,MATCH(ROWS($O$5:O14),$M$4:$M$59,0)),"")</f>
        <v>P041</v>
      </c>
      <c r="P14" s="101" t="str">
        <f>IFERROR(INDEX($B$4:$B$59,MATCH(ROWS($P$5:P14),$M$4:$M$59,0)),"")</f>
        <v>Chocolate Cake</v>
      </c>
      <c r="Q14" s="111">
        <f>IFERROR(INDEX($F$4:$F$59,MATCH(ROWS($Q$5:Q14),$M$4:$M$59,0)),0)</f>
        <v>2212500</v>
      </c>
      <c r="T14" s="10"/>
    </row>
    <row r="15" spans="1:22">
      <c r="A15" s="74" t="s">
        <v>110</v>
      </c>
      <c r="B15" t="str">
        <f>IFERROR(INDEX(tblProducts[Product Name],MATCH(A15,tblProducts[Product ID],0)),"")</f>
        <v>High Fibre Cereal</v>
      </c>
      <c r="C15" t="str">
        <f>IFERROR(INDEX(tblProducts[Brand],MATCH(A15,tblProducts[Product ID],0)),"")</f>
        <v>Morning Harvest</v>
      </c>
      <c r="D15" t="str">
        <f>IFERROR(INDEX(tblProducts[Category],MATCH(A15,tblProducts[Product ID],0)),"")</f>
        <v>Morning Cereals</v>
      </c>
      <c r="E15" s="85">
        <f>SUMIFS(tblSalesTransactions[Quantity],tblSalesTransactions[Product ID],A15)</f>
        <v>0</v>
      </c>
      <c r="F15" s="85">
        <f>SUMIFS(tblSalesTransactions[Sales Amount],tblSalesTransactions[Product ID],A15)</f>
        <v>0</v>
      </c>
      <c r="G15" s="85">
        <f>COUNTIFS(tblSalesTransactions[Product ID],A15)</f>
        <v>0</v>
      </c>
      <c r="H15" s="85">
        <f t="shared" si="0"/>
        <v>0</v>
      </c>
      <c r="I15" s="85">
        <f>SUMIFS(tblInventory[Closing Stock Qty],tblInventory[Product ID],A15,tblInventory[Snapshot Date],DATE(2026,12,31))</f>
        <v>0</v>
      </c>
      <c r="J15" s="85">
        <f>SUMIFS(tblInventory[Stock Value],tblInventory[Product ID],A15,tblInventory[Snapshot Date],DATE(2026,12,31))</f>
        <v>0</v>
      </c>
      <c r="K15" s="13">
        <f>IFERROR(F15/SUM(tblProductAnalysis[Total Sales]),0)</f>
        <v>0</v>
      </c>
      <c r="L15" s="17">
        <f t="shared" si="1"/>
        <v>0</v>
      </c>
      <c r="M15" s="78">
        <f>RANK(F15,$F$4:$F$59,0)+COUNTIF($F$4:F15,F15)-1</f>
        <v>39</v>
      </c>
      <c r="N15" s="17"/>
      <c r="O15" s="17"/>
      <c r="T15" s="10"/>
    </row>
    <row r="16" spans="1:22">
      <c r="A16" s="74" t="s">
        <v>112</v>
      </c>
      <c r="B16" t="str">
        <f>IFERROR(INDEX(tblProducts[Product Name],MATCH(A16,tblProducts[Product ID],0)),"")</f>
        <v>High Fibre Cereal</v>
      </c>
      <c r="C16" t="str">
        <f>IFERROR(INDEX(tblProducts[Brand],MATCH(A16,tblProducts[Product ID],0)),"")</f>
        <v>Morning Harvest</v>
      </c>
      <c r="D16" t="str">
        <f>IFERROR(INDEX(tblProducts[Category],MATCH(A16,tblProducts[Product ID],0)),"")</f>
        <v>Morning Cereals</v>
      </c>
      <c r="E16" s="85">
        <f>SUMIFS(tblSalesTransactions[Quantity],tblSalesTransactions[Product ID],A16)</f>
        <v>0</v>
      </c>
      <c r="F16" s="85">
        <f>SUMIFS(tblSalesTransactions[Sales Amount],tblSalesTransactions[Product ID],A16)</f>
        <v>0</v>
      </c>
      <c r="G16" s="85">
        <f>COUNTIFS(tblSalesTransactions[Product ID],A16)</f>
        <v>0</v>
      </c>
      <c r="H16" s="85">
        <f t="shared" si="0"/>
        <v>0</v>
      </c>
      <c r="I16" s="85">
        <f>SUMIFS(tblInventory[Closing Stock Qty],tblInventory[Product ID],A16,tblInventory[Snapshot Date],DATE(2026,12,31))</f>
        <v>0</v>
      </c>
      <c r="J16" s="85">
        <f>SUMIFS(tblInventory[Stock Value],tblInventory[Product ID],A16,tblInventory[Snapshot Date],DATE(2026,12,31))</f>
        <v>0</v>
      </c>
      <c r="K16" s="13">
        <f>IFERROR(F16/SUM(tblProductAnalysis[Total Sales]),0)</f>
        <v>0</v>
      </c>
      <c r="L16" s="17">
        <f t="shared" si="1"/>
        <v>0</v>
      </c>
      <c r="M16" s="78">
        <f>RANK(F16,$F$4:$F$59,0)+COUNTIF($F$4:F16,F16)-1</f>
        <v>40</v>
      </c>
      <c r="N16" s="17"/>
      <c r="O16" s="17"/>
      <c r="T16" s="10"/>
    </row>
    <row r="17" spans="1:20">
      <c r="A17" s="74" t="s">
        <v>113</v>
      </c>
      <c r="B17" t="str">
        <f>IFERROR(INDEX(tblProducts[Product Name],MATCH(A17,tblProducts[Product ID],0)),"")</f>
        <v>Muesli Classic</v>
      </c>
      <c r="C17" t="str">
        <f>IFERROR(INDEX(tblProducts[Brand],MATCH(A17,tblProducts[Product ID],0)),"")</f>
        <v>Morning Harvest</v>
      </c>
      <c r="D17" t="str">
        <f>IFERROR(INDEX(tblProducts[Category],MATCH(A17,tblProducts[Product ID],0)),"")</f>
        <v>Morning Cereals</v>
      </c>
      <c r="E17" s="85">
        <f>SUMIFS(tblSalesTransactions[Quantity],tblSalesTransactions[Product ID],A17)</f>
        <v>1270</v>
      </c>
      <c r="F17" s="85">
        <f>SUMIFS(tblSalesTransactions[Sales Amount],tblSalesTransactions[Product ID],A17)</f>
        <v>1841500</v>
      </c>
      <c r="G17" s="85">
        <f>COUNTIFS(tblSalesTransactions[Product ID],A17)</f>
        <v>12</v>
      </c>
      <c r="H17" s="85">
        <f t="shared" si="0"/>
        <v>1450</v>
      </c>
      <c r="I17" s="85">
        <f>SUMIFS(tblInventory[Closing Stock Qty],tblInventory[Product ID],A17,tblInventory[Snapshot Date],DATE(2026,12,31))</f>
        <v>233</v>
      </c>
      <c r="J17" s="85">
        <f>SUMIFS(tblInventory[Stock Value],tblInventory[Product ID],A17,tblInventory[Snapshot Date],DATE(2026,12,31))</f>
        <v>337850</v>
      </c>
      <c r="K17" s="13">
        <f>IFERROR(F17/SUM(tblProductAnalysis[Total Sales]),0)</f>
        <v>3.0561398704687933E-2</v>
      </c>
      <c r="L17" s="17">
        <f t="shared" si="1"/>
        <v>2.2015748031496063</v>
      </c>
      <c r="M17" s="78">
        <f>RANK(F17,$F$4:$F$59,0)+COUNTIF($F$4:F17,F17)-1</f>
        <v>16</v>
      </c>
      <c r="N17" s="17"/>
      <c r="O17" s="17"/>
      <c r="T17" s="10"/>
    </row>
    <row r="18" spans="1:20">
      <c r="A18" s="74" t="s">
        <v>117</v>
      </c>
      <c r="B18" t="str">
        <f>IFERROR(INDEX(tblProducts[Product Name],MATCH(A18,tblProducts[Product ID],0)),"")</f>
        <v>Muesli Classic</v>
      </c>
      <c r="C18" t="str">
        <f>IFERROR(INDEX(tblProducts[Brand],MATCH(A18,tblProducts[Product ID],0)),"")</f>
        <v>Morning Harvest</v>
      </c>
      <c r="D18" t="str">
        <f>IFERROR(INDEX(tblProducts[Category],MATCH(A18,tblProducts[Product ID],0)),"")</f>
        <v>Morning Cereals</v>
      </c>
      <c r="E18" s="85">
        <f>SUMIFS(tblSalesTransactions[Quantity],tblSalesTransactions[Product ID],A18)</f>
        <v>1230</v>
      </c>
      <c r="F18" s="85">
        <f>SUMIFS(tblSalesTransactions[Sales Amount],tblSalesTransactions[Product ID],A18)</f>
        <v>3198000</v>
      </c>
      <c r="G18" s="85">
        <f>COUNTIFS(tblSalesTransactions[Product ID],A18)</f>
        <v>12</v>
      </c>
      <c r="H18" s="85">
        <f t="shared" si="0"/>
        <v>2600</v>
      </c>
      <c r="I18" s="85">
        <f>SUMIFS(tblInventory[Closing Stock Qty],tblInventory[Product ID],A18,tblInventory[Snapshot Date],DATE(2026,12,31))</f>
        <v>76</v>
      </c>
      <c r="J18" s="85">
        <f>SUMIFS(tblInventory[Stock Value],tblInventory[Product ID],A18,tblInventory[Snapshot Date],DATE(2026,12,31))</f>
        <v>197600</v>
      </c>
      <c r="K18" s="13">
        <f>IFERROR(F18/SUM(tblProductAnalysis[Total Sales]),0)</f>
        <v>5.3073773042406742E-2</v>
      </c>
      <c r="L18" s="17">
        <f t="shared" si="1"/>
        <v>0.74146341463414633</v>
      </c>
      <c r="M18" s="78">
        <f>RANK(F18,$F$4:$F$59,0)+COUNTIF($F$4:F18,F18)-1</f>
        <v>6</v>
      </c>
      <c r="N18" s="17"/>
      <c r="O18" s="17"/>
      <c r="T18" s="10"/>
    </row>
    <row r="19" spans="1:20">
      <c r="A19" s="74" t="s">
        <v>119</v>
      </c>
      <c r="B19" t="str">
        <f>IFERROR(INDEX(tblProducts[Product Name],MATCH(A19,tblProducts[Product ID],0)),"")</f>
        <v>Fruit &amp; Nut Muesli</v>
      </c>
      <c r="C19" t="str">
        <f>IFERROR(INDEX(tblProducts[Brand],MATCH(A19,tblProducts[Product ID],0)),"")</f>
        <v>Morning Harvest</v>
      </c>
      <c r="D19" t="str">
        <f>IFERROR(INDEX(tblProducts[Category],MATCH(A19,tblProducts[Product ID],0)),"")</f>
        <v>Morning Cereals</v>
      </c>
      <c r="E19" s="85">
        <f>SUMIFS(tblSalesTransactions[Quantity],tblSalesTransactions[Product ID],A19)</f>
        <v>180</v>
      </c>
      <c r="F19" s="85">
        <f>SUMIFS(tblSalesTransactions[Sales Amount],tblSalesTransactions[Product ID],A19)</f>
        <v>297000</v>
      </c>
      <c r="G19" s="85">
        <f>COUNTIFS(tblSalesTransactions[Product ID],A19)</f>
        <v>2</v>
      </c>
      <c r="H19" s="85">
        <f t="shared" si="0"/>
        <v>1650</v>
      </c>
      <c r="I19" s="85">
        <f>SUMIFS(tblInventory[Closing Stock Qty],tblInventory[Product ID],A19,tblInventory[Snapshot Date],DATE(2026,12,31))</f>
        <v>35</v>
      </c>
      <c r="J19" s="85">
        <f>SUMIFS(tblInventory[Stock Value],tblInventory[Product ID],A19,tblInventory[Snapshot Date],DATE(2026,12,31))</f>
        <v>52500</v>
      </c>
      <c r="K19" s="13">
        <f>IFERROR(F19/SUM(tblProductAnalysis[Total Sales]),0)</f>
        <v>4.9289901793604755E-3</v>
      </c>
      <c r="L19" s="17">
        <f t="shared" si="1"/>
        <v>2.3333333333333335</v>
      </c>
      <c r="M19" s="78">
        <f>RANK(F19,$F$4:$F$59,0)+COUNTIF($F$4:F19,F19)-1</f>
        <v>32</v>
      </c>
      <c r="N19" s="17"/>
      <c r="O19" s="17"/>
      <c r="T19" s="10"/>
    </row>
    <row r="20" spans="1:20">
      <c r="A20" s="74" t="s">
        <v>121</v>
      </c>
      <c r="B20" t="str">
        <f>IFERROR(INDEX(tblProducts[Product Name],MATCH(A20,tblProducts[Product ID],0)),"")</f>
        <v>Fruit &amp; Nut Muesli</v>
      </c>
      <c r="C20" t="str">
        <f>IFERROR(INDEX(tblProducts[Brand],MATCH(A20,tblProducts[Product ID],0)),"")</f>
        <v>Morning Harvest</v>
      </c>
      <c r="D20" t="str">
        <f>IFERROR(INDEX(tblProducts[Category],MATCH(A20,tblProducts[Product ID],0)),"")</f>
        <v>Morning Cereals</v>
      </c>
      <c r="E20" s="85">
        <f>SUMIFS(tblSalesTransactions[Quantity],tblSalesTransactions[Product ID],A20)</f>
        <v>75</v>
      </c>
      <c r="F20" s="85">
        <f>SUMIFS(tblSalesTransactions[Sales Amount],tblSalesTransactions[Product ID],A20)</f>
        <v>135000</v>
      </c>
      <c r="G20" s="85">
        <f>COUNTIFS(tblSalesTransactions[Product ID],A20)</f>
        <v>1</v>
      </c>
      <c r="H20" s="85">
        <f t="shared" si="0"/>
        <v>1800</v>
      </c>
      <c r="I20" s="85">
        <f>SUMIFS(tblInventory[Closing Stock Qty],tblInventory[Product ID],A20,tblInventory[Snapshot Date],DATE(2026,12,31))</f>
        <v>32</v>
      </c>
      <c r="J20" s="85">
        <f>SUMIFS(tblInventory[Stock Value],tblInventory[Product ID],A20,tblInventory[Snapshot Date],DATE(2026,12,31))</f>
        <v>83200</v>
      </c>
      <c r="K20" s="13">
        <f>IFERROR(F20/SUM(tblProductAnalysis[Total Sales]),0)</f>
        <v>2.2404500815274889E-3</v>
      </c>
      <c r="L20" s="17">
        <f t="shared" si="1"/>
        <v>5.12</v>
      </c>
      <c r="M20" s="78">
        <f>RANK(F20,$F$4:$F$59,0)+COUNTIF($F$4:F20,F20)-1</f>
        <v>34</v>
      </c>
      <c r="N20" s="17"/>
      <c r="O20" s="17"/>
      <c r="T20" s="10"/>
    </row>
    <row r="21" spans="1:20">
      <c r="A21" s="74" t="s">
        <v>122</v>
      </c>
      <c r="B21" t="str">
        <f>IFERROR(INDEX(tblProducts[Product Name],MATCH(A21,tblProducts[Product ID],0)),"")</f>
        <v>Chocolate Muesli</v>
      </c>
      <c r="C21" t="str">
        <f>IFERROR(INDEX(tblProducts[Brand],MATCH(A21,tblProducts[Product ID],0)),"")</f>
        <v>Morning Harvest</v>
      </c>
      <c r="D21" t="str">
        <f>IFERROR(INDEX(tblProducts[Category],MATCH(A21,tblProducts[Product ID],0)),"")</f>
        <v>Morning Cereals</v>
      </c>
      <c r="E21" s="85">
        <f>SUMIFS(tblSalesTransactions[Quantity],tblSalesTransactions[Product ID],A21)</f>
        <v>510</v>
      </c>
      <c r="F21" s="85">
        <f>SUMIFS(tblSalesTransactions[Sales Amount],tblSalesTransactions[Product ID],A21)</f>
        <v>969000</v>
      </c>
      <c r="G21" s="85">
        <f>COUNTIFS(tblSalesTransactions[Product ID],A21)</f>
        <v>5</v>
      </c>
      <c r="H21" s="85">
        <f t="shared" si="0"/>
        <v>1900</v>
      </c>
      <c r="I21" s="85">
        <f>SUMIFS(tblInventory[Closing Stock Qty],tblInventory[Product ID],A21,tblInventory[Snapshot Date],DATE(2026,12,31))</f>
        <v>34</v>
      </c>
      <c r="J21" s="85">
        <f>SUMIFS(tblInventory[Stock Value],tblInventory[Product ID],A21,tblInventory[Snapshot Date],DATE(2026,12,31))</f>
        <v>71400</v>
      </c>
      <c r="K21" s="13">
        <f>IFERROR(F21/SUM(tblProductAnalysis[Total Sales]),0)</f>
        <v>1.6081452807408421E-2</v>
      </c>
      <c r="L21" s="17">
        <f t="shared" si="1"/>
        <v>0.8</v>
      </c>
      <c r="M21" s="78">
        <f>RANK(F21,$F$4:$F$59,0)+COUNTIF($F$4:F21,F21)-1</f>
        <v>23</v>
      </c>
      <c r="N21" s="17"/>
      <c r="O21" s="17"/>
      <c r="T21" s="10"/>
    </row>
    <row r="22" spans="1:20">
      <c r="A22" s="74" t="s">
        <v>124</v>
      </c>
      <c r="B22" t="str">
        <f>IFERROR(INDEX(tblProducts[Product Name],MATCH(A22,tblProducts[Product ID],0)),"")</f>
        <v>Chocolate Muesli</v>
      </c>
      <c r="C22" t="str">
        <f>IFERROR(INDEX(tblProducts[Brand],MATCH(A22,tblProducts[Product ID],0)),"")</f>
        <v>Morning Harvest</v>
      </c>
      <c r="D22" t="str">
        <f>IFERROR(INDEX(tblProducts[Category],MATCH(A22,tblProducts[Product ID],0)),"")</f>
        <v>Morning Cereals</v>
      </c>
      <c r="E22" s="85">
        <f>SUMIFS(tblSalesTransactions[Quantity],tblSalesTransactions[Product ID],A22)</f>
        <v>0</v>
      </c>
      <c r="F22" s="85">
        <f>SUMIFS(tblSalesTransactions[Sales Amount],tblSalesTransactions[Product ID],A22)</f>
        <v>0</v>
      </c>
      <c r="G22" s="85">
        <f>COUNTIFS(tblSalesTransactions[Product ID],A22)</f>
        <v>0</v>
      </c>
      <c r="H22" s="85">
        <f t="shared" si="0"/>
        <v>0</v>
      </c>
      <c r="I22" s="85">
        <f>SUMIFS(tblInventory[Closing Stock Qty],tblInventory[Product ID],A22,tblInventory[Snapshot Date],DATE(2026,12,31))</f>
        <v>36</v>
      </c>
      <c r="J22" s="85">
        <f>SUMIFS(tblInventory[Stock Value],tblInventory[Product ID],A22,tblInventory[Snapshot Date],DATE(2026,12,31))</f>
        <v>93600</v>
      </c>
      <c r="K22" s="13">
        <f>IFERROR(F22/SUM(tblProductAnalysis[Total Sales]),0)</f>
        <v>0</v>
      </c>
      <c r="L22" s="17">
        <f t="shared" si="1"/>
        <v>0</v>
      </c>
      <c r="M22" s="78">
        <f>RANK(F22,$F$4:$F$59,0)+COUNTIF($F$4:F22,F22)-1</f>
        <v>41</v>
      </c>
      <c r="N22" s="17"/>
      <c r="O22" s="17"/>
      <c r="T22" s="10"/>
    </row>
    <row r="23" spans="1:20">
      <c r="A23" s="74" t="s">
        <v>125</v>
      </c>
      <c r="B23" t="str">
        <f>IFERROR(INDEX(tblProducts[Product Name],MATCH(A23,tblProducts[Product ID],0)),"")</f>
        <v>Granola Honey</v>
      </c>
      <c r="C23" t="str">
        <f>IFERROR(INDEX(tblProducts[Brand],MATCH(A23,tblProducts[Product ID],0)),"")</f>
        <v>Morning Harvest</v>
      </c>
      <c r="D23" t="str">
        <f>IFERROR(INDEX(tblProducts[Category],MATCH(A23,tblProducts[Product ID],0)),"")</f>
        <v>Morning Cereals</v>
      </c>
      <c r="E23" s="85">
        <f>SUMIFS(tblSalesTransactions[Quantity],tblSalesTransactions[Product ID],A23)</f>
        <v>645</v>
      </c>
      <c r="F23" s="85">
        <f>SUMIFS(tblSalesTransactions[Sales Amount],tblSalesTransactions[Product ID],A23)</f>
        <v>1161000</v>
      </c>
      <c r="G23" s="85">
        <f>COUNTIFS(tblSalesTransactions[Product ID],A23)</f>
        <v>7</v>
      </c>
      <c r="H23" s="85">
        <f t="shared" si="0"/>
        <v>1800</v>
      </c>
      <c r="I23" s="85">
        <f>SUMIFS(tblInventory[Closing Stock Qty],tblInventory[Product ID],A23,tblInventory[Snapshot Date],DATE(2026,12,31))</f>
        <v>33</v>
      </c>
      <c r="J23" s="85">
        <f>SUMIFS(tblInventory[Stock Value],tblInventory[Product ID],A23,tblInventory[Snapshot Date],DATE(2026,12,31))</f>
        <v>59400</v>
      </c>
      <c r="K23" s="13">
        <f>IFERROR(F23/SUM(tblProductAnalysis[Total Sales]),0)</f>
        <v>1.9267870701136405E-2</v>
      </c>
      <c r="L23" s="17">
        <f t="shared" si="1"/>
        <v>0.61395348837209307</v>
      </c>
      <c r="M23" s="78">
        <f>RANK(F23,$F$4:$F$59,0)+COUNTIF($F$4:F23,F23)-1</f>
        <v>21</v>
      </c>
      <c r="N23" s="17"/>
      <c r="O23" s="17"/>
      <c r="T23" s="10"/>
    </row>
    <row r="24" spans="1:20">
      <c r="A24" s="74" t="s">
        <v>129</v>
      </c>
      <c r="B24" t="str">
        <f>IFERROR(INDEX(tblProducts[Product Name],MATCH(A24,tblProducts[Product ID],0)),"")</f>
        <v>Granola Honey</v>
      </c>
      <c r="C24" t="str">
        <f>IFERROR(INDEX(tblProducts[Brand],MATCH(A24,tblProducts[Product ID],0)),"")</f>
        <v>Morning Harvest</v>
      </c>
      <c r="D24" t="str">
        <f>IFERROR(INDEX(tblProducts[Category],MATCH(A24,tblProducts[Product ID],0)),"")</f>
        <v>Morning Cereals</v>
      </c>
      <c r="E24" s="85">
        <f>SUMIFS(tblSalesTransactions[Quantity],tblSalesTransactions[Product ID],A24)</f>
        <v>1210</v>
      </c>
      <c r="F24" s="85">
        <f>SUMIFS(tblSalesTransactions[Sales Amount],tblSalesTransactions[Product ID],A24)</f>
        <v>2904000</v>
      </c>
      <c r="G24" s="85">
        <f>COUNTIFS(tblSalesTransactions[Product ID],A24)</f>
        <v>12</v>
      </c>
      <c r="H24" s="85">
        <f t="shared" si="0"/>
        <v>2400</v>
      </c>
      <c r="I24" s="85">
        <f>SUMIFS(tblInventory[Closing Stock Qty],tblInventory[Product ID],A24,tblInventory[Snapshot Date],DATE(2026,12,31))</f>
        <v>31</v>
      </c>
      <c r="J24" s="85">
        <f>SUMIFS(tblInventory[Stock Value],tblInventory[Product ID],A24,tblInventory[Snapshot Date],DATE(2026,12,31))</f>
        <v>74400</v>
      </c>
      <c r="K24" s="13">
        <f>IFERROR(F24/SUM(tblProductAnalysis[Total Sales]),0)</f>
        <v>4.8194570642635763E-2</v>
      </c>
      <c r="L24" s="17">
        <f t="shared" si="1"/>
        <v>0.30743801652892566</v>
      </c>
      <c r="M24" s="78">
        <f>RANK(F24,$F$4:$F$59,0)+COUNTIF($F$4:F24,F24)-1</f>
        <v>7</v>
      </c>
      <c r="N24" s="17"/>
      <c r="O24" s="17"/>
      <c r="T24" s="10"/>
    </row>
    <row r="25" spans="1:20">
      <c r="A25" s="74" t="s">
        <v>131</v>
      </c>
      <c r="B25" t="str">
        <f>IFERROR(INDEX(tblProducts[Product Name],MATCH(A25,tblProducts[Product ID],0)),"")</f>
        <v>Granola Chocolate</v>
      </c>
      <c r="C25" t="str">
        <f>IFERROR(INDEX(tblProducts[Brand],MATCH(A25,tblProducts[Product ID],0)),"")</f>
        <v>Morning Harvest</v>
      </c>
      <c r="D25" t="str">
        <f>IFERROR(INDEX(tblProducts[Category],MATCH(A25,tblProducts[Product ID],0)),"")</f>
        <v>Morning Cereals</v>
      </c>
      <c r="E25" s="85">
        <f>SUMIFS(tblSalesTransactions[Quantity],tblSalesTransactions[Product ID],A25)</f>
        <v>505</v>
      </c>
      <c r="F25" s="85">
        <f>SUMIFS(tblSalesTransactions[Sales Amount],tblSalesTransactions[Product ID],A25)</f>
        <v>1060500</v>
      </c>
      <c r="G25" s="85">
        <f>COUNTIFS(tblSalesTransactions[Product ID],A25)</f>
        <v>5</v>
      </c>
      <c r="H25" s="85">
        <f t="shared" si="0"/>
        <v>2100</v>
      </c>
      <c r="I25" s="85">
        <f>SUMIFS(tblInventory[Closing Stock Qty],tblInventory[Product ID],A25,tblInventory[Snapshot Date],DATE(2026,12,31))</f>
        <v>30</v>
      </c>
      <c r="J25" s="85">
        <f>SUMIFS(tblInventory[Stock Value],tblInventory[Product ID],A25,tblInventory[Snapshot Date],DATE(2026,12,31))</f>
        <v>63000</v>
      </c>
      <c r="K25" s="13">
        <f>IFERROR(F25/SUM(tblProductAnalysis[Total Sales]),0)</f>
        <v>1.7599980084888164E-2</v>
      </c>
      <c r="L25" s="17">
        <f t="shared" si="1"/>
        <v>0.71287128712871284</v>
      </c>
      <c r="M25" s="78">
        <f>RANK(F25,$F$4:$F$59,0)+COUNTIF($F$4:F25,F25)-1</f>
        <v>22</v>
      </c>
      <c r="N25" s="17"/>
      <c r="O25" s="17"/>
      <c r="T25" s="10"/>
    </row>
    <row r="26" spans="1:20">
      <c r="A26" s="74" t="s">
        <v>133</v>
      </c>
      <c r="B26" t="str">
        <f>IFERROR(INDEX(tblProducts[Product Name],MATCH(A26,tblProducts[Product ID],0)),"")</f>
        <v>Granola Chocolate</v>
      </c>
      <c r="C26" t="str">
        <f>IFERROR(INDEX(tblProducts[Brand],MATCH(A26,tblProducts[Product ID],0)),"")</f>
        <v>Morning Harvest</v>
      </c>
      <c r="D26" t="str">
        <f>IFERROR(INDEX(tblProducts[Category],MATCH(A26,tblProducts[Product ID],0)),"")</f>
        <v>Morning Cereals</v>
      </c>
      <c r="E26" s="85">
        <f>SUMIFS(tblSalesTransactions[Quantity],tblSalesTransactions[Product ID],A26)</f>
        <v>0</v>
      </c>
      <c r="F26" s="85">
        <f>SUMIFS(tblSalesTransactions[Sales Amount],tblSalesTransactions[Product ID],A26)</f>
        <v>0</v>
      </c>
      <c r="G26" s="85">
        <f>COUNTIFS(tblSalesTransactions[Product ID],A26)</f>
        <v>0</v>
      </c>
      <c r="H26" s="85">
        <f t="shared" si="0"/>
        <v>0</v>
      </c>
      <c r="I26" s="85">
        <f>SUMIFS(tblInventory[Closing Stock Qty],tblInventory[Product ID],A26,tblInventory[Snapshot Date],DATE(2026,12,31))</f>
        <v>30</v>
      </c>
      <c r="J26" s="85">
        <f>SUMIFS(tblInventory[Stock Value],tblInventory[Product ID],A26,tblInventory[Snapshot Date],DATE(2026,12,31))</f>
        <v>63000</v>
      </c>
      <c r="K26" s="13">
        <f>IFERROR(F26/SUM(tblProductAnalysis[Total Sales]),0)</f>
        <v>0</v>
      </c>
      <c r="L26" s="17">
        <f t="shared" si="1"/>
        <v>0</v>
      </c>
      <c r="M26" s="78">
        <f>RANK(F26,$F$4:$F$59,0)+COUNTIF($F$4:F26,F26)-1</f>
        <v>42</v>
      </c>
      <c r="N26" s="17"/>
      <c r="O26" s="17"/>
      <c r="T26" s="10"/>
    </row>
    <row r="27" spans="1:20">
      <c r="A27" s="74" t="s">
        <v>134</v>
      </c>
      <c r="B27" t="str">
        <f>IFERROR(INDEX(tblProducts[Product Name],MATCH(A27,tblProducts[Product ID],0)),"")</f>
        <v>Strawberry Crunch Cereal</v>
      </c>
      <c r="C27" t="str">
        <f>IFERROR(INDEX(tblProducts[Brand],MATCH(A27,tblProducts[Product ID],0)),"")</f>
        <v>Morning Harvest</v>
      </c>
      <c r="D27" t="str">
        <f>IFERROR(INDEX(tblProducts[Category],MATCH(A27,tblProducts[Product ID],0)),"")</f>
        <v>Morning Cereals</v>
      </c>
      <c r="E27" s="85">
        <f>SUMIFS(tblSalesTransactions[Quantity],tblSalesTransactions[Product ID],A27)</f>
        <v>720</v>
      </c>
      <c r="F27" s="85">
        <f>SUMIFS(tblSalesTransactions[Sales Amount],tblSalesTransactions[Product ID],A27)</f>
        <v>756000</v>
      </c>
      <c r="G27" s="85">
        <f>COUNTIFS(tblSalesTransactions[Product ID],A27)</f>
        <v>6</v>
      </c>
      <c r="H27" s="85">
        <f t="shared" si="0"/>
        <v>1050</v>
      </c>
      <c r="I27" s="85">
        <f>SUMIFS(tblInventory[Closing Stock Qty],tblInventory[Product ID],A27,tblInventory[Snapshot Date],DATE(2026,12,31))</f>
        <v>0</v>
      </c>
      <c r="J27" s="85">
        <f>SUMIFS(tblInventory[Stock Value],tblInventory[Product ID],A27,tblInventory[Snapshot Date],DATE(2026,12,31))</f>
        <v>0</v>
      </c>
      <c r="K27" s="13">
        <f>IFERROR(F27/SUM(tblProductAnalysis[Total Sales]),0)</f>
        <v>1.2546520456553939E-2</v>
      </c>
      <c r="L27" s="17">
        <f t="shared" si="1"/>
        <v>0</v>
      </c>
      <c r="M27" s="78">
        <f>RANK(F27,$F$4:$F$59,0)+COUNTIF($F$4:F27,F27)-1</f>
        <v>27</v>
      </c>
      <c r="N27" s="17"/>
      <c r="O27" s="17"/>
      <c r="T27" s="10"/>
    </row>
    <row r="28" spans="1:20">
      <c r="A28" s="74" t="s">
        <v>137</v>
      </c>
      <c r="B28" t="str">
        <f>IFERROR(INDEX(tblProducts[Product Name],MATCH(A28,tblProducts[Product ID],0)),"")</f>
        <v>Strawberry Crunch Cereal</v>
      </c>
      <c r="C28" t="str">
        <f>IFERROR(INDEX(tblProducts[Brand],MATCH(A28,tblProducts[Product ID],0)),"")</f>
        <v>Morning Harvest</v>
      </c>
      <c r="D28" t="str">
        <f>IFERROR(INDEX(tblProducts[Category],MATCH(A28,tblProducts[Product ID],0)),"")</f>
        <v>Morning Cereals</v>
      </c>
      <c r="E28" s="85">
        <f>SUMIFS(tblSalesTransactions[Quantity],tblSalesTransactions[Product ID],A28)</f>
        <v>0</v>
      </c>
      <c r="F28" s="85">
        <f>SUMIFS(tblSalesTransactions[Sales Amount],tblSalesTransactions[Product ID],A28)</f>
        <v>0</v>
      </c>
      <c r="G28" s="85">
        <f>COUNTIFS(tblSalesTransactions[Product ID],A28)</f>
        <v>0</v>
      </c>
      <c r="H28" s="85">
        <f t="shared" si="0"/>
        <v>0</v>
      </c>
      <c r="I28" s="85">
        <f>SUMIFS(tblInventory[Closing Stock Qty],tblInventory[Product ID],A28,tblInventory[Snapshot Date],DATE(2026,12,31))</f>
        <v>0</v>
      </c>
      <c r="J28" s="85">
        <f>SUMIFS(tblInventory[Stock Value],tblInventory[Product ID],A28,tblInventory[Snapshot Date],DATE(2026,12,31))</f>
        <v>0</v>
      </c>
      <c r="K28" s="13">
        <f>IFERROR(F28/SUM(tblProductAnalysis[Total Sales]),0)</f>
        <v>0</v>
      </c>
      <c r="L28" s="17">
        <f t="shared" si="1"/>
        <v>0</v>
      </c>
      <c r="M28" s="78">
        <f>RANK(F28,$F$4:$F$59,0)+COUNTIF($F$4:F28,F28)-1</f>
        <v>43</v>
      </c>
      <c r="N28" s="17"/>
      <c r="O28" s="17"/>
      <c r="T28" s="10"/>
    </row>
    <row r="29" spans="1:20">
      <c r="A29" s="74" t="s">
        <v>138</v>
      </c>
      <c r="B29" t="str">
        <f>IFERROR(INDEX(tblProducts[Product Name],MATCH(A29,tblProducts[Product ID],0)),"")</f>
        <v>Choco Rings Cereal</v>
      </c>
      <c r="C29" t="str">
        <f>IFERROR(INDEX(tblProducts[Brand],MATCH(A29,tblProducts[Product ID],0)),"")</f>
        <v>Morning Harvest</v>
      </c>
      <c r="D29" t="str">
        <f>IFERROR(INDEX(tblProducts[Category],MATCH(A29,tblProducts[Product ID],0)),"")</f>
        <v>Morning Cereals</v>
      </c>
      <c r="E29" s="85">
        <f>SUMIFS(tblSalesTransactions[Quantity],tblSalesTransactions[Product ID],A29)</f>
        <v>0</v>
      </c>
      <c r="F29" s="85">
        <f>SUMIFS(tblSalesTransactions[Sales Amount],tblSalesTransactions[Product ID],A29)</f>
        <v>0</v>
      </c>
      <c r="G29" s="85">
        <f>COUNTIFS(tblSalesTransactions[Product ID],A29)</f>
        <v>0</v>
      </c>
      <c r="H29" s="85">
        <f t="shared" si="0"/>
        <v>0</v>
      </c>
      <c r="I29" s="85">
        <f>SUMIFS(tblInventory[Closing Stock Qty],tblInventory[Product ID],A29,tblInventory[Snapshot Date],DATE(2026,12,31))</f>
        <v>0</v>
      </c>
      <c r="J29" s="85">
        <f>SUMIFS(tblInventory[Stock Value],tblInventory[Product ID],A29,tblInventory[Snapshot Date],DATE(2026,12,31))</f>
        <v>0</v>
      </c>
      <c r="K29" s="13">
        <f>IFERROR(F29/SUM(tblProductAnalysis[Total Sales]),0)</f>
        <v>0</v>
      </c>
      <c r="L29" s="17">
        <f t="shared" si="1"/>
        <v>0</v>
      </c>
      <c r="M29" s="78">
        <f>RANK(F29,$F$4:$F$59,0)+COUNTIF($F$4:F29,F29)-1</f>
        <v>44</v>
      </c>
      <c r="N29" s="17"/>
      <c r="O29" s="17"/>
      <c r="T29" s="10"/>
    </row>
    <row r="30" spans="1:20">
      <c r="A30" s="74" t="s">
        <v>140</v>
      </c>
      <c r="B30" t="str">
        <f>IFERROR(INDEX(tblProducts[Product Name],MATCH(A30,tblProducts[Product ID],0)),"")</f>
        <v>Choco Rings Cereal</v>
      </c>
      <c r="C30" t="str">
        <f>IFERROR(INDEX(tblProducts[Brand],MATCH(A30,tblProducts[Product ID],0)),"")</f>
        <v>Morning Harvest</v>
      </c>
      <c r="D30" t="str">
        <f>IFERROR(INDEX(tblProducts[Category],MATCH(A30,tblProducts[Product ID],0)),"")</f>
        <v>Morning Cereals</v>
      </c>
      <c r="E30" s="85">
        <f>SUMIFS(tblSalesTransactions[Quantity],tblSalesTransactions[Product ID],A30)</f>
        <v>0</v>
      </c>
      <c r="F30" s="85">
        <f>SUMIFS(tblSalesTransactions[Sales Amount],tblSalesTransactions[Product ID],A30)</f>
        <v>0</v>
      </c>
      <c r="G30" s="85">
        <f>COUNTIFS(tblSalesTransactions[Product ID],A30)</f>
        <v>0</v>
      </c>
      <c r="H30" s="85">
        <f t="shared" si="0"/>
        <v>0</v>
      </c>
      <c r="I30" s="85">
        <f>SUMIFS(tblInventory[Closing Stock Qty],tblInventory[Product ID],A30,tblInventory[Snapshot Date],DATE(2026,12,31))</f>
        <v>0</v>
      </c>
      <c r="J30" s="85">
        <f>SUMIFS(tblInventory[Stock Value],tblInventory[Product ID],A30,tblInventory[Snapshot Date],DATE(2026,12,31))</f>
        <v>0</v>
      </c>
      <c r="K30" s="13">
        <f>IFERROR(F30/SUM(tblProductAnalysis[Total Sales]),0)</f>
        <v>0</v>
      </c>
      <c r="L30" s="17">
        <f t="shared" si="1"/>
        <v>0</v>
      </c>
      <c r="M30" s="78">
        <f>RANK(F30,$F$4:$F$59,0)+COUNTIF($F$4:F30,F30)-1</f>
        <v>45</v>
      </c>
      <c r="N30" s="17"/>
      <c r="O30" s="17"/>
      <c r="T30" s="10"/>
    </row>
    <row r="31" spans="1:20">
      <c r="A31" s="74" t="s">
        <v>141</v>
      </c>
      <c r="B31" t="str">
        <f>IFERROR(INDEX(tblProducts[Product Name],MATCH(A31,tblProducts[Product ID],0)),"")</f>
        <v>Honey Rings Cereal</v>
      </c>
      <c r="C31" t="str">
        <f>IFERROR(INDEX(tblProducts[Brand],MATCH(A31,tblProducts[Product ID],0)),"")</f>
        <v>Morning Harvest</v>
      </c>
      <c r="D31" t="str">
        <f>IFERROR(INDEX(tblProducts[Category],MATCH(A31,tblProducts[Product ID],0)),"")</f>
        <v>Morning Cereals</v>
      </c>
      <c r="E31" s="85">
        <f>SUMIFS(tblSalesTransactions[Quantity],tblSalesTransactions[Product ID],A31)</f>
        <v>0</v>
      </c>
      <c r="F31" s="85">
        <f>SUMIFS(tblSalesTransactions[Sales Amount],tblSalesTransactions[Product ID],A31)</f>
        <v>0</v>
      </c>
      <c r="G31" s="85">
        <f>COUNTIFS(tblSalesTransactions[Product ID],A31)</f>
        <v>0</v>
      </c>
      <c r="H31" s="85">
        <f t="shared" si="0"/>
        <v>0</v>
      </c>
      <c r="I31" s="85">
        <f>SUMIFS(tblInventory[Closing Stock Qty],tblInventory[Product ID],A31,tblInventory[Snapshot Date],DATE(2026,12,31))</f>
        <v>0</v>
      </c>
      <c r="J31" s="85">
        <f>SUMIFS(tblInventory[Stock Value],tblInventory[Product ID],A31,tblInventory[Snapshot Date],DATE(2026,12,31))</f>
        <v>0</v>
      </c>
      <c r="K31" s="13">
        <f>IFERROR(F31/SUM(tblProductAnalysis[Total Sales]),0)</f>
        <v>0</v>
      </c>
      <c r="L31" s="17">
        <f t="shared" si="1"/>
        <v>0</v>
      </c>
      <c r="M31" s="78">
        <f>RANK(F31,$F$4:$F$59,0)+COUNTIF($F$4:F31,F31)-1</f>
        <v>46</v>
      </c>
      <c r="N31" s="17"/>
      <c r="O31" s="17"/>
      <c r="T31" s="10"/>
    </row>
    <row r="32" spans="1:20">
      <c r="A32" s="74" t="s">
        <v>143</v>
      </c>
      <c r="B32" t="str">
        <f>IFERROR(INDEX(tblProducts[Product Name],MATCH(A32,tblProducts[Product ID],0)),"")</f>
        <v>Honey Rings Cereal</v>
      </c>
      <c r="C32" t="str">
        <f>IFERROR(INDEX(tblProducts[Brand],MATCH(A32,tblProducts[Product ID],0)),"")</f>
        <v>Morning Harvest</v>
      </c>
      <c r="D32" t="str">
        <f>IFERROR(INDEX(tblProducts[Category],MATCH(A32,tblProducts[Product ID],0)),"")</f>
        <v>Morning Cereals</v>
      </c>
      <c r="E32" s="85">
        <f>SUMIFS(tblSalesTransactions[Quantity],tblSalesTransactions[Product ID],A32)</f>
        <v>0</v>
      </c>
      <c r="F32" s="85">
        <f>SUMIFS(tblSalesTransactions[Sales Amount],tblSalesTransactions[Product ID],A32)</f>
        <v>0</v>
      </c>
      <c r="G32" s="85">
        <f>COUNTIFS(tblSalesTransactions[Product ID],A32)</f>
        <v>0</v>
      </c>
      <c r="H32" s="85">
        <f t="shared" si="0"/>
        <v>0</v>
      </c>
      <c r="I32" s="85">
        <f>SUMIFS(tblInventory[Closing Stock Qty],tblInventory[Product ID],A32,tblInventory[Snapshot Date],DATE(2026,12,31))</f>
        <v>0</v>
      </c>
      <c r="J32" s="85">
        <f>SUMIFS(tblInventory[Stock Value],tblInventory[Product ID],A32,tblInventory[Snapshot Date],DATE(2026,12,31))</f>
        <v>0</v>
      </c>
      <c r="K32" s="13">
        <f>IFERROR(F32/SUM(tblProductAnalysis[Total Sales]),0)</f>
        <v>0</v>
      </c>
      <c r="L32" s="17">
        <f t="shared" si="1"/>
        <v>0</v>
      </c>
      <c r="M32" s="78">
        <f>RANK(F32,$F$4:$F$59,0)+COUNTIF($F$4:F32,F32)-1</f>
        <v>47</v>
      </c>
      <c r="N32" s="17"/>
      <c r="O32" s="17"/>
      <c r="T32" s="10"/>
    </row>
    <row r="33" spans="1:20">
      <c r="A33" s="74" t="s">
        <v>144</v>
      </c>
      <c r="B33" t="str">
        <f>IFERROR(INDEX(tblProducts[Product Name],MATCH(A33,tblProducts[Product ID],0)),"")</f>
        <v>Mixed Grain Cereal</v>
      </c>
      <c r="C33" t="str">
        <f>IFERROR(INDEX(tblProducts[Brand],MATCH(A33,tblProducts[Product ID],0)),"")</f>
        <v>Morning Harvest</v>
      </c>
      <c r="D33" t="str">
        <f>IFERROR(INDEX(tblProducts[Category],MATCH(A33,tblProducts[Product ID],0)),"")</f>
        <v>Morning Cereals</v>
      </c>
      <c r="E33" s="85">
        <f>SUMIFS(tblSalesTransactions[Quantity],tblSalesTransactions[Product ID],A33)</f>
        <v>1335</v>
      </c>
      <c r="F33" s="85">
        <f>SUMIFS(tblSalesTransactions[Sales Amount],tblSalesTransactions[Product ID],A33)</f>
        <v>2069250</v>
      </c>
      <c r="G33" s="85">
        <f>COUNTIFS(tblSalesTransactions[Product ID],A33)</f>
        <v>12</v>
      </c>
      <c r="H33" s="85">
        <f t="shared" si="0"/>
        <v>1550</v>
      </c>
      <c r="I33" s="85">
        <f>SUMIFS(tblInventory[Closing Stock Qty],tblInventory[Product ID],A33,tblInventory[Snapshot Date],DATE(2026,12,31))</f>
        <v>0</v>
      </c>
      <c r="J33" s="85">
        <f>SUMIFS(tblInventory[Stock Value],tblInventory[Product ID],A33,tblInventory[Snapshot Date],DATE(2026,12,31))</f>
        <v>0</v>
      </c>
      <c r="K33" s="13">
        <f>IFERROR(F33/SUM(tblProductAnalysis[Total Sales]),0)</f>
        <v>3.4341120971857458E-2</v>
      </c>
      <c r="L33" s="17">
        <f t="shared" si="1"/>
        <v>0</v>
      </c>
      <c r="M33" s="78">
        <f>RANK(F33,$F$4:$F$59,0)+COUNTIF($F$4:F33,F33)-1</f>
        <v>12</v>
      </c>
      <c r="N33" s="17"/>
      <c r="O33" s="17"/>
      <c r="T33" s="10"/>
    </row>
    <row r="34" spans="1:20">
      <c r="A34" s="74" t="s">
        <v>147</v>
      </c>
      <c r="B34" t="str">
        <f>IFERROR(INDEX(tblProducts[Product Name],MATCH(A34,tblProducts[Product ID],0)),"")</f>
        <v>Mixed Grain Cereal</v>
      </c>
      <c r="C34" t="str">
        <f>IFERROR(INDEX(tblProducts[Brand],MATCH(A34,tblProducts[Product ID],0)),"")</f>
        <v>Morning Harvest</v>
      </c>
      <c r="D34" t="str">
        <f>IFERROR(INDEX(tblProducts[Category],MATCH(A34,tblProducts[Product ID],0)),"")</f>
        <v>Morning Cereals</v>
      </c>
      <c r="E34" s="85">
        <f>SUMIFS(tblSalesTransactions[Quantity],tblSalesTransactions[Product ID],A34)</f>
        <v>0</v>
      </c>
      <c r="F34" s="85">
        <f>SUMIFS(tblSalesTransactions[Sales Amount],tblSalesTransactions[Product ID],A34)</f>
        <v>0</v>
      </c>
      <c r="G34" s="85">
        <f>COUNTIFS(tblSalesTransactions[Product ID],A34)</f>
        <v>0</v>
      </c>
      <c r="H34" s="85">
        <f t="shared" si="0"/>
        <v>0</v>
      </c>
      <c r="I34" s="85">
        <f>SUMIFS(tblInventory[Closing Stock Qty],tblInventory[Product ID],A34,tblInventory[Snapshot Date],DATE(2026,12,31))</f>
        <v>0</v>
      </c>
      <c r="J34" s="85">
        <f>SUMIFS(tblInventory[Stock Value],tblInventory[Product ID],A34,tblInventory[Snapshot Date],DATE(2026,12,31))</f>
        <v>0</v>
      </c>
      <c r="K34" s="13">
        <f>IFERROR(F34/SUM(tblProductAnalysis[Total Sales]),0)</f>
        <v>0</v>
      </c>
      <c r="L34" s="17">
        <f t="shared" si="1"/>
        <v>0</v>
      </c>
      <c r="M34" s="78">
        <f>RANK(F34,$F$4:$F$59,0)+COUNTIF($F$4:F34,F34)-1</f>
        <v>48</v>
      </c>
      <c r="N34" s="17"/>
      <c r="O34" s="17"/>
      <c r="T34" s="10"/>
    </row>
    <row r="35" spans="1:20">
      <c r="A35" s="74" t="s">
        <v>149</v>
      </c>
      <c r="B35" t="str">
        <f>IFERROR(INDEX(tblProducts[Product Name],MATCH(A35,tblProducts[Product ID],0)),"")</f>
        <v>Classic Panettone</v>
      </c>
      <c r="C35" t="str">
        <f>IFERROR(INDEX(tblProducts[Brand],MATCH(A35,tblProducts[Product ID],0)),"")</f>
        <v>Melegatti</v>
      </c>
      <c r="D35" t="str">
        <f>IFERROR(INDEX(tblProducts[Category],MATCH(A35,tblProducts[Product ID],0)),"")</f>
        <v>Cakes &amp; Croissants</v>
      </c>
      <c r="E35" s="85">
        <f>SUMIFS(tblSalesTransactions[Quantity],tblSalesTransactions[Product ID],A35)</f>
        <v>1585</v>
      </c>
      <c r="F35" s="85">
        <f>SUMIFS(tblSalesTransactions[Sales Amount],tblSalesTransactions[Product ID],A35)</f>
        <v>3487000</v>
      </c>
      <c r="G35" s="85">
        <f>COUNTIFS(tblSalesTransactions[Product ID],A35)</f>
        <v>12</v>
      </c>
      <c r="H35" s="85">
        <f t="shared" si="0"/>
        <v>2200</v>
      </c>
      <c r="I35" s="85">
        <f>SUMIFS(tblInventory[Closing Stock Qty],tblInventory[Product ID],A35,tblInventory[Snapshot Date],DATE(2026,12,31))</f>
        <v>49</v>
      </c>
      <c r="J35" s="85">
        <f>SUMIFS(tblInventory[Stock Value],tblInventory[Product ID],A35,tblInventory[Snapshot Date],DATE(2026,12,31))</f>
        <v>107800</v>
      </c>
      <c r="K35" s="13">
        <f>IFERROR(F35/SUM(tblProductAnalysis[Total Sales]),0)</f>
        <v>5.7869995809528549E-2</v>
      </c>
      <c r="L35" s="17">
        <f t="shared" si="1"/>
        <v>0.37097791798107255</v>
      </c>
      <c r="M35" s="78">
        <f>RANK(F35,$F$4:$F$59,0)+COUNTIF($F$4:F35,F35)-1</f>
        <v>4</v>
      </c>
      <c r="N35" s="17"/>
      <c r="O35" s="17"/>
      <c r="T35" s="10"/>
    </row>
    <row r="36" spans="1:20">
      <c r="A36" s="74" t="s">
        <v>154</v>
      </c>
      <c r="B36" t="str">
        <f>IFERROR(INDEX(tblProducts[Product Name],MATCH(A36,tblProducts[Product ID],0)),"")</f>
        <v>Classic Panettone</v>
      </c>
      <c r="C36" t="str">
        <f>IFERROR(INDEX(tblProducts[Brand],MATCH(A36,tblProducts[Product ID],0)),"")</f>
        <v>Melegatti</v>
      </c>
      <c r="D36" t="str">
        <f>IFERROR(INDEX(tblProducts[Category],MATCH(A36,tblProducts[Product ID],0)),"")</f>
        <v>Cakes &amp; Croissants</v>
      </c>
      <c r="E36" s="85">
        <f>SUMIFS(tblSalesTransactions[Quantity],tblSalesTransactions[Product ID],A36)</f>
        <v>165</v>
      </c>
      <c r="F36" s="85">
        <f>SUMIFS(tblSalesTransactions[Sales Amount],tblSalesTransactions[Product ID],A36)</f>
        <v>511500</v>
      </c>
      <c r="G36" s="85">
        <f>COUNTIFS(tblSalesTransactions[Product ID],A36)</f>
        <v>2</v>
      </c>
      <c r="H36" s="85">
        <f t="shared" ref="H36:H59" si="2">IFERROR(F36/E36,0)</f>
        <v>3100</v>
      </c>
      <c r="I36" s="85">
        <f>SUMIFS(tblInventory[Closing Stock Qty],tblInventory[Product ID],A36,tblInventory[Snapshot Date],DATE(2026,12,31))</f>
        <v>24</v>
      </c>
      <c r="J36" s="85">
        <f>SUMIFS(tblInventory[Stock Value],tblInventory[Product ID],A36,tblInventory[Snapshot Date],DATE(2026,12,31))</f>
        <v>74400</v>
      </c>
      <c r="K36" s="13">
        <f>IFERROR(F36/SUM(tblProductAnalysis[Total Sales]),0)</f>
        <v>8.488816420009709E-3</v>
      </c>
      <c r="L36" s="17">
        <f t="shared" ref="L36:L59" si="3">IFERROR(I36/(E36/12),0)</f>
        <v>1.7454545454545454</v>
      </c>
      <c r="M36" s="78">
        <f>RANK(F36,$F$4:$F$59,0)+COUNTIF($F$4:F36,F36)-1</f>
        <v>29</v>
      </c>
      <c r="N36" s="17"/>
      <c r="O36" s="17"/>
      <c r="T36" s="10"/>
    </row>
    <row r="37" spans="1:20">
      <c r="A37" s="74" t="s">
        <v>155</v>
      </c>
      <c r="B37" t="str">
        <f>IFERROR(INDEX(tblProducts[Product Name],MATCH(A37,tblProducts[Product ID],0)),"")</f>
        <v>Classic Panettone</v>
      </c>
      <c r="C37" t="str">
        <f>IFERROR(INDEX(tblProducts[Brand],MATCH(A37,tblProducts[Product ID],0)),"")</f>
        <v>Melegatti</v>
      </c>
      <c r="D37" t="str">
        <f>IFERROR(INDEX(tblProducts[Category],MATCH(A37,tblProducts[Product ID],0)),"")</f>
        <v>Cakes &amp; Croissants</v>
      </c>
      <c r="E37" s="85">
        <f>SUMIFS(tblSalesTransactions[Quantity],tblSalesTransactions[Product ID],A37)</f>
        <v>0</v>
      </c>
      <c r="F37" s="85">
        <f>SUMIFS(tblSalesTransactions[Sales Amount],tblSalesTransactions[Product ID],A37)</f>
        <v>0</v>
      </c>
      <c r="G37" s="85">
        <f>COUNTIFS(tblSalesTransactions[Product ID],A37)</f>
        <v>0</v>
      </c>
      <c r="H37" s="85">
        <f t="shared" si="2"/>
        <v>0</v>
      </c>
      <c r="I37" s="85">
        <f>SUMIFS(tblInventory[Closing Stock Qty],tblInventory[Product ID],A37,tblInventory[Snapshot Date],DATE(2026,12,31))</f>
        <v>23</v>
      </c>
      <c r="J37" s="85">
        <f>SUMIFS(tblInventory[Stock Value],tblInventory[Product ID],A37,tblInventory[Snapshot Date],DATE(2026,12,31))</f>
        <v>71300</v>
      </c>
      <c r="K37" s="13">
        <f>IFERROR(F37/SUM(tblProductAnalysis[Total Sales]),0)</f>
        <v>0</v>
      </c>
      <c r="L37" s="17">
        <f t="shared" si="3"/>
        <v>0</v>
      </c>
      <c r="M37" s="78">
        <f>RANK(F37,$F$4:$F$59,0)+COUNTIF($F$4:F37,F37)-1</f>
        <v>49</v>
      </c>
      <c r="N37" s="17"/>
      <c r="O37" s="17"/>
      <c r="T37" s="10"/>
    </row>
    <row r="38" spans="1:20">
      <c r="A38" s="74" t="s">
        <v>156</v>
      </c>
      <c r="B38" t="str">
        <f>IFERROR(INDEX(tblProducts[Product Name],MATCH(A38,tblProducts[Product ID],0)),"")</f>
        <v>Chocolate Panettone</v>
      </c>
      <c r="C38" t="str">
        <f>IFERROR(INDEX(tblProducts[Brand],MATCH(A38,tblProducts[Product ID],0)),"")</f>
        <v>Melegatti</v>
      </c>
      <c r="D38" t="str">
        <f>IFERROR(INDEX(tblProducts[Category],MATCH(A38,tblProducts[Product ID],0)),"")</f>
        <v>Cakes &amp; Croissants</v>
      </c>
      <c r="E38" s="85">
        <f>SUMIFS(tblSalesTransactions[Quantity],tblSalesTransactions[Product ID],A38)</f>
        <v>1350</v>
      </c>
      <c r="F38" s="85">
        <f>SUMIFS(tblSalesTransactions[Sales Amount],tblSalesTransactions[Product ID],A38)</f>
        <v>3240000</v>
      </c>
      <c r="G38" s="85">
        <f>COUNTIFS(tblSalesTransactions[Product ID],A38)</f>
        <v>12</v>
      </c>
      <c r="H38" s="85">
        <f t="shared" si="2"/>
        <v>2400</v>
      </c>
      <c r="I38" s="85">
        <f>SUMIFS(tblInventory[Closing Stock Qty],tblInventory[Product ID],A38,tblInventory[Snapshot Date],DATE(2026,12,31))</f>
        <v>167</v>
      </c>
      <c r="J38" s="85">
        <f>SUMIFS(tblInventory[Stock Value],tblInventory[Product ID],A38,tblInventory[Snapshot Date],DATE(2026,12,31))</f>
        <v>400800</v>
      </c>
      <c r="K38" s="13">
        <f>IFERROR(F38/SUM(tblProductAnalysis[Total Sales]),0)</f>
        <v>5.3770801956659738E-2</v>
      </c>
      <c r="L38" s="17">
        <f t="shared" si="3"/>
        <v>1.4844444444444445</v>
      </c>
      <c r="M38" s="78">
        <f>RANK(F38,$F$4:$F$59,0)+COUNTIF($F$4:F38,F38)-1</f>
        <v>5</v>
      </c>
      <c r="N38" s="17"/>
      <c r="O38" s="17"/>
      <c r="T38" s="10"/>
    </row>
    <row r="39" spans="1:20">
      <c r="A39" s="74" t="s">
        <v>158</v>
      </c>
      <c r="B39" t="str">
        <f>IFERROR(INDEX(tblProducts[Product Name],MATCH(A39,tblProducts[Product ID],0)),"")</f>
        <v>Chocolate Panettone</v>
      </c>
      <c r="C39" t="str">
        <f>IFERROR(INDEX(tblProducts[Brand],MATCH(A39,tblProducts[Product ID],0)),"")</f>
        <v>Melegatti</v>
      </c>
      <c r="D39" t="str">
        <f>IFERROR(INDEX(tblProducts[Category],MATCH(A39,tblProducts[Product ID],0)),"")</f>
        <v>Cakes &amp; Croissants</v>
      </c>
      <c r="E39" s="85">
        <f>SUMIFS(tblSalesTransactions[Quantity],tblSalesTransactions[Product ID],A39)</f>
        <v>1125</v>
      </c>
      <c r="F39" s="85">
        <f>SUMIFS(tblSalesTransactions[Sales Amount],tblSalesTransactions[Product ID],A39)</f>
        <v>3712500</v>
      </c>
      <c r="G39" s="85">
        <f>COUNTIFS(tblSalesTransactions[Product ID],A39)</f>
        <v>12</v>
      </c>
      <c r="H39" s="85">
        <f t="shared" si="2"/>
        <v>3300</v>
      </c>
      <c r="I39" s="85">
        <f>SUMIFS(tblInventory[Closing Stock Qty],tblInventory[Product ID],A39,tblInventory[Snapshot Date],DATE(2026,12,31))</f>
        <v>71</v>
      </c>
      <c r="J39" s="85">
        <f>SUMIFS(tblInventory[Stock Value],tblInventory[Product ID],A39,tblInventory[Snapshot Date],DATE(2026,12,31))</f>
        <v>234300</v>
      </c>
      <c r="K39" s="13">
        <f>IFERROR(F39/SUM(tblProductAnalysis[Total Sales]),0)</f>
        <v>6.1612377242005953E-2</v>
      </c>
      <c r="L39" s="17">
        <f t="shared" si="3"/>
        <v>0.7573333333333333</v>
      </c>
      <c r="M39" s="78">
        <f>RANK(F39,$F$4:$F$59,0)+COUNTIF($F$4:F39,F39)-1</f>
        <v>3</v>
      </c>
      <c r="N39" s="17"/>
      <c r="O39" s="17"/>
      <c r="T39" s="10"/>
    </row>
    <row r="40" spans="1:20">
      <c r="A40" s="74" t="s">
        <v>159</v>
      </c>
      <c r="B40" t="str">
        <f>IFERROR(INDEX(tblProducts[Product Name],MATCH(A40,tblProducts[Product ID],0)),"")</f>
        <v>Chocolate Panettone</v>
      </c>
      <c r="C40" t="str">
        <f>IFERROR(INDEX(tblProducts[Brand],MATCH(A40,tblProducts[Product ID],0)),"")</f>
        <v>Melegatti</v>
      </c>
      <c r="D40" t="str">
        <f>IFERROR(INDEX(tblProducts[Category],MATCH(A40,tblProducts[Product ID],0)),"")</f>
        <v>Cakes &amp; Croissants</v>
      </c>
      <c r="E40" s="85">
        <f>SUMIFS(tblSalesTransactions[Quantity],tblSalesTransactions[Product ID],A40)</f>
        <v>0</v>
      </c>
      <c r="F40" s="85">
        <f>SUMIFS(tblSalesTransactions[Sales Amount],tblSalesTransactions[Product ID],A40)</f>
        <v>0</v>
      </c>
      <c r="G40" s="85">
        <f>COUNTIFS(tblSalesTransactions[Product ID],A40)</f>
        <v>0</v>
      </c>
      <c r="H40" s="85">
        <f t="shared" si="2"/>
        <v>0</v>
      </c>
      <c r="I40" s="85">
        <f>SUMIFS(tblInventory[Closing Stock Qty],tblInventory[Product ID],A40,tblInventory[Snapshot Date],DATE(2026,12,31))</f>
        <v>24</v>
      </c>
      <c r="J40" s="85">
        <f>SUMIFS(tblInventory[Stock Value],tblInventory[Product ID],A40,tblInventory[Snapshot Date],DATE(2026,12,31))</f>
        <v>79200</v>
      </c>
      <c r="K40" s="13">
        <f>IFERROR(F40/SUM(tblProductAnalysis[Total Sales]),0)</f>
        <v>0</v>
      </c>
      <c r="L40" s="17">
        <f t="shared" si="3"/>
        <v>0</v>
      </c>
      <c r="M40" s="78">
        <f>RANK(F40,$F$4:$F$59,0)+COUNTIF($F$4:F40,F40)-1</f>
        <v>50</v>
      </c>
      <c r="N40" s="17"/>
      <c r="O40" s="17"/>
      <c r="T40" s="10"/>
    </row>
    <row r="41" spans="1:20">
      <c r="A41" s="74" t="s">
        <v>160</v>
      </c>
      <c r="B41" t="str">
        <f>IFERROR(INDEX(tblProducts[Product Name],MATCH(A41,tblProducts[Product ID],0)),"")</f>
        <v>Pandoro Classico</v>
      </c>
      <c r="C41" t="str">
        <f>IFERROR(INDEX(tblProducts[Brand],MATCH(A41,tblProducts[Product ID],0)),"")</f>
        <v>Melegatti</v>
      </c>
      <c r="D41" t="str">
        <f>IFERROR(INDEX(tblProducts[Category],MATCH(A41,tblProducts[Product ID],0)),"")</f>
        <v>Cakes &amp; Croissants</v>
      </c>
      <c r="E41" s="85">
        <f>SUMIFS(tblSalesTransactions[Quantity],tblSalesTransactions[Product ID],A41)</f>
        <v>1400</v>
      </c>
      <c r="F41" s="85">
        <f>SUMIFS(tblSalesTransactions[Sales Amount],tblSalesTransactions[Product ID],A41)</f>
        <v>4060000</v>
      </c>
      <c r="G41" s="85">
        <f>COUNTIFS(tblSalesTransactions[Product ID],A41)</f>
        <v>12</v>
      </c>
      <c r="H41" s="85">
        <f t="shared" si="2"/>
        <v>2900</v>
      </c>
      <c r="I41" s="85">
        <f>SUMIFS(tblInventory[Closing Stock Qty],tblInventory[Product ID],A41,tblInventory[Snapshot Date],DATE(2026,12,31))</f>
        <v>22</v>
      </c>
      <c r="J41" s="85">
        <f>SUMIFS(tblInventory[Stock Value],tblInventory[Product ID],A41,tblInventory[Snapshot Date],DATE(2026,12,31))</f>
        <v>63800</v>
      </c>
      <c r="K41" s="13">
        <f>IFERROR(F41/SUM(tblProductAnalysis[Total Sales]),0)</f>
        <v>6.7379461711123009E-2</v>
      </c>
      <c r="L41" s="17">
        <f t="shared" si="3"/>
        <v>0.18857142857142856</v>
      </c>
      <c r="M41" s="78">
        <f>RANK(F41,$F$4:$F$59,0)+COUNTIF($F$4:F41,F41)-1</f>
        <v>1</v>
      </c>
      <c r="N41" s="17"/>
      <c r="O41" s="17"/>
      <c r="T41" s="10"/>
    </row>
    <row r="42" spans="1:20">
      <c r="A42" s="74" t="s">
        <v>163</v>
      </c>
      <c r="B42" t="str">
        <f>IFERROR(INDEX(tblProducts[Product Name],MATCH(A42,tblProducts[Product ID],0)),"")</f>
        <v>Pandoro Classico</v>
      </c>
      <c r="C42" t="str">
        <f>IFERROR(INDEX(tblProducts[Brand],MATCH(A42,tblProducts[Product ID],0)),"")</f>
        <v>Melegatti</v>
      </c>
      <c r="D42" t="str">
        <f>IFERROR(INDEX(tblProducts[Category],MATCH(A42,tblProducts[Product ID],0)),"")</f>
        <v>Cakes &amp; Croissants</v>
      </c>
      <c r="E42" s="85">
        <f>SUMIFS(tblSalesTransactions[Quantity],tblSalesTransactions[Product ID],A42)</f>
        <v>0</v>
      </c>
      <c r="F42" s="85">
        <f>SUMIFS(tblSalesTransactions[Sales Amount],tblSalesTransactions[Product ID],A42)</f>
        <v>0</v>
      </c>
      <c r="G42" s="85">
        <f>COUNTIFS(tblSalesTransactions[Product ID],A42)</f>
        <v>0</v>
      </c>
      <c r="H42" s="85">
        <f t="shared" si="2"/>
        <v>0</v>
      </c>
      <c r="I42" s="85">
        <f>SUMIFS(tblInventory[Closing Stock Qty],tblInventory[Product ID],A42,tblInventory[Snapshot Date],DATE(2026,12,31))</f>
        <v>20</v>
      </c>
      <c r="J42" s="85">
        <f>SUMIFS(tblInventory[Stock Value],tblInventory[Product ID],A42,tblInventory[Snapshot Date],DATE(2026,12,31))</f>
        <v>58000</v>
      </c>
      <c r="K42" s="13">
        <f>IFERROR(F42/SUM(tblProductAnalysis[Total Sales]),0)</f>
        <v>0</v>
      </c>
      <c r="L42" s="17">
        <f t="shared" si="3"/>
        <v>0</v>
      </c>
      <c r="M42" s="78">
        <f>RANK(F42,$F$4:$F$59,0)+COUNTIF($F$4:F42,F42)-1</f>
        <v>51</v>
      </c>
      <c r="N42" s="17"/>
      <c r="O42" s="17"/>
      <c r="T42" s="10"/>
    </row>
    <row r="43" spans="1:20">
      <c r="A43" s="74" t="s">
        <v>164</v>
      </c>
      <c r="B43" t="str">
        <f>IFERROR(INDEX(tblProducts[Product Name],MATCH(A43,tblProducts[Product ID],0)),"")</f>
        <v>Pandoro Classico</v>
      </c>
      <c r="C43" t="str">
        <f>IFERROR(INDEX(tblProducts[Brand],MATCH(A43,tblProducts[Product ID],0)),"")</f>
        <v>Melegatti</v>
      </c>
      <c r="D43" t="str">
        <f>IFERROR(INDEX(tblProducts[Category],MATCH(A43,tblProducts[Product ID],0)),"")</f>
        <v>Cakes &amp; Croissants</v>
      </c>
      <c r="E43" s="85">
        <f>SUMIFS(tblSalesTransactions[Quantity],tblSalesTransactions[Product ID],A43)</f>
        <v>0</v>
      </c>
      <c r="F43" s="85">
        <f>SUMIFS(tblSalesTransactions[Sales Amount],tblSalesTransactions[Product ID],A43)</f>
        <v>0</v>
      </c>
      <c r="G43" s="85">
        <f>COUNTIFS(tblSalesTransactions[Product ID],A43)</f>
        <v>0</v>
      </c>
      <c r="H43" s="85">
        <f t="shared" si="2"/>
        <v>0</v>
      </c>
      <c r="I43" s="85">
        <f>SUMIFS(tblInventory[Closing Stock Qty],tblInventory[Product ID],A43,tblInventory[Snapshot Date],DATE(2026,12,31))</f>
        <v>22</v>
      </c>
      <c r="J43" s="85">
        <f>SUMIFS(tblInventory[Stock Value],tblInventory[Product ID],A43,tblInventory[Snapshot Date],DATE(2026,12,31))</f>
        <v>63800</v>
      </c>
      <c r="K43" s="13">
        <f>IFERROR(F43/SUM(tblProductAnalysis[Total Sales]),0)</f>
        <v>0</v>
      </c>
      <c r="L43" s="17">
        <f t="shared" si="3"/>
        <v>0</v>
      </c>
      <c r="M43" s="78">
        <f>RANK(F43,$F$4:$F$59,0)+COUNTIF($F$4:F43,F43)-1</f>
        <v>52</v>
      </c>
      <c r="N43" s="17"/>
      <c r="O43" s="17"/>
      <c r="T43" s="10"/>
    </row>
    <row r="44" spans="1:20">
      <c r="A44" s="74" t="s">
        <v>165</v>
      </c>
      <c r="B44" t="str">
        <f>IFERROR(INDEX(tblProducts[Product Name],MATCH(A44,tblProducts[Product ID],0)),"")</f>
        <v>Chocolate Cake</v>
      </c>
      <c r="C44" t="str">
        <f>IFERROR(INDEX(tblProducts[Brand],MATCH(A44,tblProducts[Product ID],0)),"")</f>
        <v>Melegatti</v>
      </c>
      <c r="D44" t="str">
        <f>IFERROR(INDEX(tblProducts[Category],MATCH(A44,tblProducts[Product ID],0)),"")</f>
        <v>Cakes &amp; Croissants</v>
      </c>
      <c r="E44" s="85">
        <f>SUMIFS(tblSalesTransactions[Quantity],tblSalesTransactions[Product ID],A44)</f>
        <v>1770</v>
      </c>
      <c r="F44" s="85">
        <f>SUMIFS(tblSalesTransactions[Sales Amount],tblSalesTransactions[Product ID],A44)</f>
        <v>2212500</v>
      </c>
      <c r="G44" s="85">
        <f>COUNTIFS(tblSalesTransactions[Product ID],A44)</f>
        <v>12</v>
      </c>
      <c r="H44" s="85">
        <f t="shared" si="2"/>
        <v>1250</v>
      </c>
      <c r="I44" s="85">
        <f>SUMIFS(tblInventory[Closing Stock Qty],tblInventory[Product ID],A44,tblInventory[Snapshot Date],DATE(2026,12,31))</f>
        <v>34</v>
      </c>
      <c r="J44" s="85">
        <f>SUMIFS(tblInventory[Stock Value],tblInventory[Product ID],A44,tblInventory[Snapshot Date],DATE(2026,12,31))</f>
        <v>42500</v>
      </c>
      <c r="K44" s="13">
        <f>IFERROR(F44/SUM(tblProductAnalysis[Total Sales]),0)</f>
        <v>3.6718487447256073E-2</v>
      </c>
      <c r="L44" s="17">
        <f t="shared" si="3"/>
        <v>0.23050847457627119</v>
      </c>
      <c r="M44" s="78">
        <f>RANK(F44,$F$4:$F$59,0)+COUNTIF($F$4:F44,F44)-1</f>
        <v>10</v>
      </c>
      <c r="N44" s="17"/>
      <c r="O44" s="17"/>
      <c r="T44" s="10"/>
    </row>
    <row r="45" spans="1:20">
      <c r="A45" s="74" t="s">
        <v>168</v>
      </c>
      <c r="B45" t="str">
        <f>IFERROR(INDEX(tblProducts[Product Name],MATCH(A45,tblProducts[Product ID],0)),"")</f>
        <v>Chocolate Cake</v>
      </c>
      <c r="C45" t="str">
        <f>IFERROR(INDEX(tblProducts[Brand],MATCH(A45,tblProducts[Product ID],0)),"")</f>
        <v>Melegatti</v>
      </c>
      <c r="D45" t="str">
        <f>IFERROR(INDEX(tblProducts[Category],MATCH(A45,tblProducts[Product ID],0)),"")</f>
        <v>Cakes &amp; Croissants</v>
      </c>
      <c r="E45" s="85">
        <f>SUMIFS(tblSalesTransactions[Quantity],tblSalesTransactions[Product ID],A45)</f>
        <v>1590</v>
      </c>
      <c r="F45" s="85">
        <f>SUMIFS(tblSalesTransactions[Sales Amount],tblSalesTransactions[Product ID],A45)</f>
        <v>2385000</v>
      </c>
      <c r="G45" s="85">
        <f>COUNTIFS(tblSalesTransactions[Product ID],A45)</f>
        <v>11</v>
      </c>
      <c r="H45" s="85">
        <f t="shared" si="2"/>
        <v>1500</v>
      </c>
      <c r="I45" s="85">
        <f>SUMIFS(tblInventory[Closing Stock Qty],tblInventory[Product ID],A45,tblInventory[Snapshot Date],DATE(2026,12,31))</f>
        <v>34</v>
      </c>
      <c r="J45" s="85">
        <f>SUMIFS(tblInventory[Stock Value],tblInventory[Product ID],A45,tblInventory[Snapshot Date],DATE(2026,12,31))</f>
        <v>51000</v>
      </c>
      <c r="K45" s="13">
        <f>IFERROR(F45/SUM(tblProductAnalysis[Total Sales]),0)</f>
        <v>3.958128477365231E-2</v>
      </c>
      <c r="L45" s="17">
        <f t="shared" si="3"/>
        <v>0.25660377358490566</v>
      </c>
      <c r="M45" s="78">
        <f>RANK(F45,$F$4:$F$59,0)+COUNTIF($F$4:F45,F45)-1</f>
        <v>9</v>
      </c>
      <c r="N45" s="17"/>
      <c r="O45" s="17"/>
      <c r="T45" s="10"/>
    </row>
    <row r="46" spans="1:20">
      <c r="A46" s="74" t="s">
        <v>169</v>
      </c>
      <c r="B46" t="str">
        <f>IFERROR(INDEX(tblProducts[Product Name],MATCH(A46,tblProducts[Product ID],0)),"")</f>
        <v>Vanilla Cake</v>
      </c>
      <c r="C46" t="str">
        <f>IFERROR(INDEX(tblProducts[Brand],MATCH(A46,tblProducts[Product ID],0)),"")</f>
        <v>Melegatti</v>
      </c>
      <c r="D46" t="str">
        <f>IFERROR(INDEX(tblProducts[Category],MATCH(A46,tblProducts[Product ID],0)),"")</f>
        <v>Cakes &amp; Croissants</v>
      </c>
      <c r="E46" s="85">
        <f>SUMIFS(tblSalesTransactions[Quantity],tblSalesTransactions[Product ID],A46)</f>
        <v>1525</v>
      </c>
      <c r="F46" s="85">
        <f>SUMIFS(tblSalesTransactions[Sales Amount],tblSalesTransactions[Product ID],A46)</f>
        <v>1830000</v>
      </c>
      <c r="G46" s="85">
        <f>COUNTIFS(tblSalesTransactions[Product ID],A46)</f>
        <v>12</v>
      </c>
      <c r="H46" s="85">
        <f t="shared" si="2"/>
        <v>1200</v>
      </c>
      <c r="I46" s="85">
        <f>SUMIFS(tblInventory[Closing Stock Qty],tblInventory[Product ID],A46,tblInventory[Snapshot Date],DATE(2026,12,31))</f>
        <v>35</v>
      </c>
      <c r="J46" s="85">
        <f>SUMIFS(tblInventory[Stock Value],tblInventory[Product ID],A46,tblInventory[Snapshot Date],DATE(2026,12,31))</f>
        <v>42000</v>
      </c>
      <c r="K46" s="13">
        <f>IFERROR(F46/SUM(tblProductAnalysis[Total Sales]),0)</f>
        <v>3.0370545549594851E-2</v>
      </c>
      <c r="L46" s="17">
        <f t="shared" si="3"/>
        <v>0.27540983606557379</v>
      </c>
      <c r="M46" s="78">
        <f>RANK(F46,$F$4:$F$59,0)+COUNTIF($F$4:F46,F46)-1</f>
        <v>17</v>
      </c>
      <c r="N46" s="17"/>
      <c r="O46" s="17"/>
      <c r="T46" s="10"/>
    </row>
    <row r="47" spans="1:20">
      <c r="A47" s="74" t="s">
        <v>171</v>
      </c>
      <c r="B47" t="str">
        <f>IFERROR(INDEX(tblProducts[Product Name],MATCH(A47,tblProducts[Product ID],0)),"")</f>
        <v>Vanilla Cake</v>
      </c>
      <c r="C47" t="str">
        <f>IFERROR(INDEX(tblProducts[Brand],MATCH(A47,tblProducts[Product ID],0)),"")</f>
        <v>Melegatti</v>
      </c>
      <c r="D47" t="str">
        <f>IFERROR(INDEX(tblProducts[Category],MATCH(A47,tblProducts[Product ID],0)),"")</f>
        <v>Cakes &amp; Croissants</v>
      </c>
      <c r="E47" s="85">
        <f>SUMIFS(tblSalesTransactions[Quantity],tblSalesTransactions[Product ID],A47)</f>
        <v>1475</v>
      </c>
      <c r="F47" s="85">
        <f>SUMIFS(tblSalesTransactions[Sales Amount],tblSalesTransactions[Product ID],A47)</f>
        <v>2065000</v>
      </c>
      <c r="G47" s="85">
        <f>COUNTIFS(tblSalesTransactions[Product ID],A47)</f>
        <v>12</v>
      </c>
      <c r="H47" s="85">
        <f t="shared" si="2"/>
        <v>1400</v>
      </c>
      <c r="I47" s="85">
        <f>SUMIFS(tblInventory[Closing Stock Qty],tblInventory[Product ID],A47,tblInventory[Snapshot Date],DATE(2026,12,31))</f>
        <v>33</v>
      </c>
      <c r="J47" s="85">
        <f>SUMIFS(tblInventory[Stock Value],tblInventory[Product ID],A47,tblInventory[Snapshot Date],DATE(2026,12,31))</f>
        <v>46200</v>
      </c>
      <c r="K47" s="13">
        <f>IFERROR(F47/SUM(tblProductAnalysis[Total Sales]),0)</f>
        <v>3.4270588284105667E-2</v>
      </c>
      <c r="L47" s="17">
        <f t="shared" si="3"/>
        <v>0.26847457627118643</v>
      </c>
      <c r="M47" s="78">
        <f>RANK(F47,$F$4:$F$59,0)+COUNTIF($F$4:F47,F47)-1</f>
        <v>13</v>
      </c>
      <c r="N47" s="17"/>
      <c r="O47" s="17"/>
      <c r="T47" s="10"/>
    </row>
    <row r="48" spans="1:20">
      <c r="A48" s="74" t="s">
        <v>172</v>
      </c>
      <c r="B48" t="str">
        <f>IFERROR(INDEX(tblProducts[Product Name],MATCH(A48,tblProducts[Product ID],0)),"")</f>
        <v>Lemon Cake</v>
      </c>
      <c r="C48" t="str">
        <f>IFERROR(INDEX(tblProducts[Brand],MATCH(A48,tblProducts[Product ID],0)),"")</f>
        <v>Melegatti</v>
      </c>
      <c r="D48" t="str">
        <f>IFERROR(INDEX(tblProducts[Category],MATCH(A48,tblProducts[Product ID],0)),"")</f>
        <v>Cakes &amp; Croissants</v>
      </c>
      <c r="E48" s="85">
        <f>SUMIFS(tblSalesTransactions[Quantity],tblSalesTransactions[Product ID],A48)</f>
        <v>90</v>
      </c>
      <c r="F48" s="85">
        <f>SUMIFS(tblSalesTransactions[Sales Amount],tblSalesTransactions[Product ID],A48)</f>
        <v>117000</v>
      </c>
      <c r="G48" s="85">
        <f>COUNTIFS(tblSalesTransactions[Product ID],A48)</f>
        <v>1</v>
      </c>
      <c r="H48" s="85">
        <f t="shared" si="2"/>
        <v>1300</v>
      </c>
      <c r="I48" s="85">
        <f>SUMIFS(tblInventory[Closing Stock Qty],tblInventory[Product ID],A48,tblInventory[Snapshot Date],DATE(2026,12,31))</f>
        <v>24</v>
      </c>
      <c r="J48" s="85">
        <f>SUMIFS(tblInventory[Stock Value],tblInventory[Product ID],A48,tblInventory[Snapshot Date],DATE(2026,12,31))</f>
        <v>33600</v>
      </c>
      <c r="K48" s="13">
        <f>IFERROR(F48/SUM(tblProductAnalysis[Total Sales]),0)</f>
        <v>1.9417234039904906E-3</v>
      </c>
      <c r="L48" s="17">
        <f t="shared" si="3"/>
        <v>3.2</v>
      </c>
      <c r="M48" s="78">
        <f>RANK(F48,$F$4:$F$59,0)+COUNTIF($F$4:F48,F48)-1</f>
        <v>35</v>
      </c>
      <c r="N48" s="17"/>
      <c r="O48" s="17"/>
      <c r="T48" s="10"/>
    </row>
    <row r="49" spans="1:20">
      <c r="A49" s="74" t="s">
        <v>174</v>
      </c>
      <c r="B49" t="str">
        <f>IFERROR(INDEX(tblProducts[Product Name],MATCH(A49,tblProducts[Product ID],0)),"")</f>
        <v>Lemon Cake</v>
      </c>
      <c r="C49" t="str">
        <f>IFERROR(INDEX(tblProducts[Brand],MATCH(A49,tblProducts[Product ID],0)),"")</f>
        <v>Melegatti</v>
      </c>
      <c r="D49" t="str">
        <f>IFERROR(INDEX(tblProducts[Category],MATCH(A49,tblProducts[Product ID],0)),"")</f>
        <v>Cakes &amp; Croissants</v>
      </c>
      <c r="E49" s="85">
        <f>SUMIFS(tblSalesTransactions[Quantity],tblSalesTransactions[Product ID],A49)</f>
        <v>0</v>
      </c>
      <c r="F49" s="85">
        <f>SUMIFS(tblSalesTransactions[Sales Amount],tblSalesTransactions[Product ID],A49)</f>
        <v>0</v>
      </c>
      <c r="G49" s="85">
        <f>COUNTIFS(tblSalesTransactions[Product ID],A49)</f>
        <v>0</v>
      </c>
      <c r="H49" s="85">
        <f t="shared" si="2"/>
        <v>0</v>
      </c>
      <c r="I49" s="85">
        <f>SUMIFS(tblInventory[Closing Stock Qty],tblInventory[Product ID],A49,tblInventory[Snapshot Date],DATE(2026,12,31))</f>
        <v>0</v>
      </c>
      <c r="J49" s="85">
        <f>SUMIFS(tblInventory[Stock Value],tblInventory[Product ID],A49,tblInventory[Snapshot Date],DATE(2026,12,31))</f>
        <v>0</v>
      </c>
      <c r="K49" s="13">
        <f>IFERROR(F49/SUM(tblProductAnalysis[Total Sales]),0)</f>
        <v>0</v>
      </c>
      <c r="L49" s="17">
        <f t="shared" si="3"/>
        <v>0</v>
      </c>
      <c r="M49" s="78">
        <f>RANK(F49,$F$4:$F$59,0)+COUNTIF($F$4:F49,F49)-1</f>
        <v>53</v>
      </c>
      <c r="N49" s="17"/>
      <c r="O49" s="17"/>
      <c r="T49" s="10"/>
    </row>
    <row r="50" spans="1:20">
      <c r="A50" s="74" t="s">
        <v>175</v>
      </c>
      <c r="B50" t="str">
        <f>IFERROR(INDEX(tblProducts[Product Name],MATCH(A50,tblProducts[Product ID],0)),"")</f>
        <v>Marble Cake</v>
      </c>
      <c r="C50" t="str">
        <f>IFERROR(INDEX(tblProducts[Brand],MATCH(A50,tblProducts[Product ID],0)),"")</f>
        <v>Melegatti</v>
      </c>
      <c r="D50" t="str">
        <f>IFERROR(INDEX(tblProducts[Category],MATCH(A50,tblProducts[Product ID],0)),"")</f>
        <v>Cakes &amp; Croissants</v>
      </c>
      <c r="E50" s="85">
        <f>SUMIFS(tblSalesTransactions[Quantity],tblSalesTransactions[Product ID],A50)</f>
        <v>0</v>
      </c>
      <c r="F50" s="85">
        <f>SUMIFS(tblSalesTransactions[Sales Amount],tblSalesTransactions[Product ID],A50)</f>
        <v>0</v>
      </c>
      <c r="G50" s="85">
        <f>COUNTIFS(tblSalesTransactions[Product ID],A50)</f>
        <v>0</v>
      </c>
      <c r="H50" s="85">
        <f t="shared" si="2"/>
        <v>0</v>
      </c>
      <c r="I50" s="85">
        <f>SUMIFS(tblInventory[Closing Stock Qty],tblInventory[Product ID],A50,tblInventory[Snapshot Date],DATE(2026,12,31))</f>
        <v>0</v>
      </c>
      <c r="J50" s="85">
        <f>SUMIFS(tblInventory[Stock Value],tblInventory[Product ID],A50,tblInventory[Snapshot Date],DATE(2026,12,31))</f>
        <v>0</v>
      </c>
      <c r="K50" s="13">
        <f>IFERROR(F50/SUM(tblProductAnalysis[Total Sales]),0)</f>
        <v>0</v>
      </c>
      <c r="L50" s="17">
        <f t="shared" si="3"/>
        <v>0</v>
      </c>
      <c r="M50" s="78">
        <f>RANK(F50,$F$4:$F$59,0)+COUNTIF($F$4:F50,F50)-1</f>
        <v>54</v>
      </c>
      <c r="N50" s="17"/>
      <c r="O50" s="17"/>
      <c r="T50" s="10"/>
    </row>
    <row r="51" spans="1:20">
      <c r="A51" s="74" t="s">
        <v>177</v>
      </c>
      <c r="B51" t="str">
        <f>IFERROR(INDEX(tblProducts[Product Name],MATCH(A51,tblProducts[Product ID],0)),"")</f>
        <v>Marble Cake</v>
      </c>
      <c r="C51" t="str">
        <f>IFERROR(INDEX(tblProducts[Brand],MATCH(A51,tblProducts[Product ID],0)),"")</f>
        <v>Melegatti</v>
      </c>
      <c r="D51" t="str">
        <f>IFERROR(INDEX(tblProducts[Category],MATCH(A51,tblProducts[Product ID],0)),"")</f>
        <v>Cakes &amp; Croissants</v>
      </c>
      <c r="E51" s="85">
        <f>SUMIFS(tblSalesTransactions[Quantity],tblSalesTransactions[Product ID],A51)</f>
        <v>0</v>
      </c>
      <c r="F51" s="85">
        <f>SUMIFS(tblSalesTransactions[Sales Amount],tblSalesTransactions[Product ID],A51)</f>
        <v>0</v>
      </c>
      <c r="G51" s="85">
        <f>COUNTIFS(tblSalesTransactions[Product ID],A51)</f>
        <v>0</v>
      </c>
      <c r="H51" s="85">
        <f t="shared" si="2"/>
        <v>0</v>
      </c>
      <c r="I51" s="85">
        <f>SUMIFS(tblInventory[Closing Stock Qty],tblInventory[Product ID],A51,tblInventory[Snapshot Date],DATE(2026,12,31))</f>
        <v>0</v>
      </c>
      <c r="J51" s="85">
        <f>SUMIFS(tblInventory[Stock Value],tblInventory[Product ID],A51,tblInventory[Snapshot Date],DATE(2026,12,31))</f>
        <v>0</v>
      </c>
      <c r="K51" s="13">
        <f>IFERROR(F51/SUM(tblProductAnalysis[Total Sales]),0)</f>
        <v>0</v>
      </c>
      <c r="L51" s="17">
        <f t="shared" si="3"/>
        <v>0</v>
      </c>
      <c r="M51" s="78">
        <f>RANK(F51,$F$4:$F$59,0)+COUNTIF($F$4:F51,F51)-1</f>
        <v>55</v>
      </c>
      <c r="N51" s="17"/>
      <c r="O51" s="17"/>
      <c r="T51" s="10"/>
    </row>
    <row r="52" spans="1:20">
      <c r="A52" s="74" t="s">
        <v>178</v>
      </c>
      <c r="B52" t="str">
        <f>IFERROR(INDEX(tblProducts[Product Name],MATCH(A52,tblProducts[Product ID],0)),"")</f>
        <v>Mini Croissant Classic</v>
      </c>
      <c r="C52" t="str">
        <f>IFERROR(INDEX(tblProducts[Brand],MATCH(A52,tblProducts[Product ID],0)),"")</f>
        <v>Melegatti</v>
      </c>
      <c r="D52" t="str">
        <f>IFERROR(INDEX(tblProducts[Category],MATCH(A52,tblProducts[Product ID],0)),"")</f>
        <v>Cakes &amp; Croissants</v>
      </c>
      <c r="E52" s="85">
        <f>SUMIFS(tblSalesTransactions[Quantity],tblSalesTransactions[Product ID],A52)</f>
        <v>2290</v>
      </c>
      <c r="F52" s="85">
        <f>SUMIFS(tblSalesTransactions[Sales Amount],tblSalesTransactions[Product ID],A52)</f>
        <v>2519000</v>
      </c>
      <c r="G52" s="85">
        <f>COUNTIFS(tblSalesTransactions[Product ID],A52)</f>
        <v>12</v>
      </c>
      <c r="H52" s="85">
        <f t="shared" si="2"/>
        <v>1100</v>
      </c>
      <c r="I52" s="85">
        <f>SUMIFS(tblInventory[Closing Stock Qty],tblInventory[Product ID],A52,tblInventory[Snapshot Date],DATE(2026,12,31))</f>
        <v>80</v>
      </c>
      <c r="J52" s="85">
        <f>SUMIFS(tblInventory[Stock Value],tblInventory[Product ID],A52,tblInventory[Snapshot Date],DATE(2026,12,31))</f>
        <v>88000</v>
      </c>
      <c r="K52" s="13">
        <f>IFERROR(F52/SUM(tblProductAnalysis[Total Sales]),0)</f>
        <v>4.1805138928649961E-2</v>
      </c>
      <c r="L52" s="17">
        <f t="shared" si="3"/>
        <v>0.41921397379912662</v>
      </c>
      <c r="M52" s="78">
        <f>RANK(F52,$F$4:$F$59,0)+COUNTIF($F$4:F52,F52)-1</f>
        <v>8</v>
      </c>
      <c r="N52" s="17"/>
      <c r="O52" s="17"/>
      <c r="T52" s="10"/>
    </row>
    <row r="53" spans="1:20">
      <c r="A53" s="74" t="s">
        <v>183</v>
      </c>
      <c r="B53" t="str">
        <f>IFERROR(INDEX(tblProducts[Product Name],MATCH(A53,tblProducts[Product ID],0)),"")</f>
        <v>Mini Croissant Classic</v>
      </c>
      <c r="C53" t="str">
        <f>IFERROR(INDEX(tblProducts[Brand],MATCH(A53,tblProducts[Product ID],0)),"")</f>
        <v>Melegatti</v>
      </c>
      <c r="D53" t="str">
        <f>IFERROR(INDEX(tblProducts[Category],MATCH(A53,tblProducts[Product ID],0)),"")</f>
        <v>Cakes &amp; Croissants</v>
      </c>
      <c r="E53" s="85">
        <f>SUMIFS(tblSalesTransactions[Quantity],tblSalesTransactions[Product ID],A53)</f>
        <v>270</v>
      </c>
      <c r="F53" s="85">
        <f>SUMIFS(tblSalesTransactions[Sales Amount],tblSalesTransactions[Product ID],A53)</f>
        <v>337500</v>
      </c>
      <c r="G53" s="85">
        <f>COUNTIFS(tblSalesTransactions[Product ID],A53)</f>
        <v>2</v>
      </c>
      <c r="H53" s="85">
        <f t="shared" si="2"/>
        <v>1250</v>
      </c>
      <c r="I53" s="85">
        <f>SUMIFS(tblInventory[Closing Stock Qty],tblInventory[Product ID],A53,tblInventory[Snapshot Date],DATE(2026,12,31))</f>
        <v>35</v>
      </c>
      <c r="J53" s="85">
        <f>SUMIFS(tblInventory[Stock Value],tblInventory[Product ID],A53,tblInventory[Snapshot Date],DATE(2026,12,31))</f>
        <v>30450</v>
      </c>
      <c r="K53" s="13">
        <f>IFERROR(F53/SUM(tblProductAnalysis[Total Sales]),0)</f>
        <v>5.6011252038187225E-3</v>
      </c>
      <c r="L53" s="17">
        <f t="shared" si="3"/>
        <v>1.5555555555555556</v>
      </c>
      <c r="M53" s="78">
        <f>RANK(F53,$F$4:$F$59,0)+COUNTIF($F$4:F53,F53)-1</f>
        <v>31</v>
      </c>
      <c r="N53" s="17"/>
      <c r="O53" s="17"/>
      <c r="T53" s="10"/>
    </row>
    <row r="54" spans="1:20">
      <c r="A54" s="74" t="s">
        <v>185</v>
      </c>
      <c r="B54" t="str">
        <f>IFERROR(INDEX(tblProducts[Product Name],MATCH(A54,tblProducts[Product ID],0)),"")</f>
        <v>Mini Croissant Chocolate</v>
      </c>
      <c r="C54" t="str">
        <f>IFERROR(INDEX(tblProducts[Brand],MATCH(A54,tblProducts[Product ID],0)),"")</f>
        <v>Melegatti</v>
      </c>
      <c r="D54" t="str">
        <f>IFERROR(INDEX(tblProducts[Category],MATCH(A54,tblProducts[Product ID],0)),"")</f>
        <v>Cakes &amp; Croissants</v>
      </c>
      <c r="E54" s="85">
        <f>SUMIFS(tblSalesTransactions[Quantity],tblSalesTransactions[Product ID],A54)</f>
        <v>840</v>
      </c>
      <c r="F54" s="85">
        <f>SUMIFS(tblSalesTransactions[Sales Amount],tblSalesTransactions[Product ID],A54)</f>
        <v>966000</v>
      </c>
      <c r="G54" s="85">
        <f>COUNTIFS(tblSalesTransactions[Product ID],A54)</f>
        <v>6</v>
      </c>
      <c r="H54" s="85">
        <f t="shared" si="2"/>
        <v>1150</v>
      </c>
      <c r="I54" s="85">
        <f>SUMIFS(tblInventory[Closing Stock Qty],tblInventory[Product ID],A54,tblInventory[Snapshot Date],DATE(2026,12,31))</f>
        <v>37</v>
      </c>
      <c r="J54" s="85">
        <f>SUMIFS(tblInventory[Stock Value],tblInventory[Product ID],A54,tblInventory[Snapshot Date],DATE(2026,12,31))</f>
        <v>42550</v>
      </c>
      <c r="K54" s="13">
        <f>IFERROR(F54/SUM(tblProductAnalysis[Total Sales]),0)</f>
        <v>1.6031665027818921E-2</v>
      </c>
      <c r="L54" s="17">
        <f t="shared" si="3"/>
        <v>0.52857142857142858</v>
      </c>
      <c r="M54" s="78">
        <f>RANK(F54,$F$4:$F$59,0)+COUNTIF($F$4:F54,F54)-1</f>
        <v>24</v>
      </c>
      <c r="N54" s="17"/>
      <c r="O54" s="17"/>
      <c r="T54" s="10"/>
    </row>
    <row r="55" spans="1:20">
      <c r="A55" s="74" t="s">
        <v>187</v>
      </c>
      <c r="B55" t="str">
        <f>IFERROR(INDEX(tblProducts[Product Name],MATCH(A55,tblProducts[Product ID],0)),"")</f>
        <v>Mini Croissant Chocolate</v>
      </c>
      <c r="C55" t="str">
        <f>IFERROR(INDEX(tblProducts[Brand],MATCH(A55,tblProducts[Product ID],0)),"")</f>
        <v>Melegatti</v>
      </c>
      <c r="D55" t="str">
        <f>IFERROR(INDEX(tblProducts[Category],MATCH(A55,tblProducts[Product ID],0)),"")</f>
        <v>Cakes &amp; Croissants</v>
      </c>
      <c r="E55" s="85">
        <f>SUMIFS(tblSalesTransactions[Quantity],tblSalesTransactions[Product ID],A55)</f>
        <v>120</v>
      </c>
      <c r="F55" s="85">
        <f>SUMIFS(tblSalesTransactions[Sales Amount],tblSalesTransactions[Product ID],A55)</f>
        <v>162000</v>
      </c>
      <c r="G55" s="85">
        <f>COUNTIFS(tblSalesTransactions[Product ID],A55)</f>
        <v>1</v>
      </c>
      <c r="H55" s="85">
        <f t="shared" si="2"/>
        <v>1350</v>
      </c>
      <c r="I55" s="85">
        <f>SUMIFS(tblInventory[Closing Stock Qty],tblInventory[Product ID],A55,tblInventory[Snapshot Date],DATE(2026,12,31))</f>
        <v>0</v>
      </c>
      <c r="J55" s="85">
        <f>SUMIFS(tblInventory[Stock Value],tblInventory[Product ID],A55,tblInventory[Snapshot Date],DATE(2026,12,31))</f>
        <v>0</v>
      </c>
      <c r="K55" s="13">
        <f>IFERROR(F55/SUM(tblProductAnalysis[Total Sales]),0)</f>
        <v>2.6885400978329871E-3</v>
      </c>
      <c r="L55" s="17">
        <f t="shared" si="3"/>
        <v>0</v>
      </c>
      <c r="M55" s="78">
        <f>RANK(F55,$F$4:$F$59,0)+COUNTIF($F$4:F55,F55)-1</f>
        <v>33</v>
      </c>
      <c r="N55" s="17"/>
      <c r="O55" s="17"/>
      <c r="T55" s="10"/>
    </row>
    <row r="56" spans="1:20">
      <c r="A56" s="74" t="s">
        <v>188</v>
      </c>
      <c r="B56" t="str">
        <f>IFERROR(INDEX(tblProducts[Product Name],MATCH(A56,tblProducts[Product ID],0)),"")</f>
        <v>Mini Croissant Apricot</v>
      </c>
      <c r="C56" t="str">
        <f>IFERROR(INDEX(tblProducts[Brand],MATCH(A56,tblProducts[Product ID],0)),"")</f>
        <v>Melegatti</v>
      </c>
      <c r="D56" t="str">
        <f>IFERROR(INDEX(tblProducts[Category],MATCH(A56,tblProducts[Product ID],0)),"")</f>
        <v>Cakes &amp; Croissants</v>
      </c>
      <c r="E56" s="85">
        <f>SUMIFS(tblSalesTransactions[Quantity],tblSalesTransactions[Product ID],A56)</f>
        <v>905</v>
      </c>
      <c r="F56" s="85">
        <f>SUMIFS(tblSalesTransactions[Sales Amount],tblSalesTransactions[Product ID],A56)</f>
        <v>950250</v>
      </c>
      <c r="G56" s="85">
        <f>COUNTIFS(tblSalesTransactions[Product ID],A56)</f>
        <v>7</v>
      </c>
      <c r="H56" s="85">
        <f t="shared" si="2"/>
        <v>1050</v>
      </c>
      <c r="I56" s="85">
        <f>SUMIFS(tblInventory[Closing Stock Qty],tblInventory[Product ID],A56,tblInventory[Snapshot Date],DATE(2026,12,31))</f>
        <v>36</v>
      </c>
      <c r="J56" s="85">
        <f>SUMIFS(tblInventory[Stock Value],tblInventory[Product ID],A56,tblInventory[Snapshot Date],DATE(2026,12,31))</f>
        <v>37800</v>
      </c>
      <c r="K56" s="13">
        <f>IFERROR(F56/SUM(tblProductAnalysis[Total Sales]),0)</f>
        <v>1.5770279184974048E-2</v>
      </c>
      <c r="L56" s="17">
        <f t="shared" si="3"/>
        <v>0.47734806629834253</v>
      </c>
      <c r="M56" s="78">
        <f>RANK(F56,$F$4:$F$59,0)+COUNTIF($F$4:F56,F56)-1</f>
        <v>25</v>
      </c>
      <c r="N56" s="17"/>
      <c r="O56" s="17"/>
      <c r="T56" s="10"/>
    </row>
    <row r="57" spans="1:20">
      <c r="A57" s="74" t="s">
        <v>190</v>
      </c>
      <c r="B57" t="str">
        <f>IFERROR(INDEX(tblProducts[Product Name],MATCH(A57,tblProducts[Product ID],0)),"")</f>
        <v>Mini Croissant Apricot</v>
      </c>
      <c r="C57" t="str">
        <f>IFERROR(INDEX(tblProducts[Brand],MATCH(A57,tblProducts[Product ID],0)),"")</f>
        <v>Melegatti</v>
      </c>
      <c r="D57" t="str">
        <f>IFERROR(INDEX(tblProducts[Category],MATCH(A57,tblProducts[Product ID],0)),"")</f>
        <v>Cakes &amp; Croissants</v>
      </c>
      <c r="E57" s="85">
        <f>SUMIFS(tblSalesTransactions[Quantity],tblSalesTransactions[Product ID],A57)</f>
        <v>0</v>
      </c>
      <c r="F57" s="85">
        <f>SUMIFS(tblSalesTransactions[Sales Amount],tblSalesTransactions[Product ID],A57)</f>
        <v>0</v>
      </c>
      <c r="G57" s="85">
        <f>COUNTIFS(tblSalesTransactions[Product ID],A57)</f>
        <v>0</v>
      </c>
      <c r="H57" s="85">
        <f t="shared" si="2"/>
        <v>0</v>
      </c>
      <c r="I57" s="85">
        <f>SUMIFS(tblInventory[Closing Stock Qty],tblInventory[Product ID],A57,tblInventory[Snapshot Date],DATE(2026,12,31))</f>
        <v>36</v>
      </c>
      <c r="J57" s="85">
        <f>SUMIFS(tblInventory[Stock Value],tblInventory[Product ID],A57,tblInventory[Snapshot Date],DATE(2026,12,31))</f>
        <v>37800</v>
      </c>
      <c r="K57" s="13">
        <f>IFERROR(F57/SUM(tblProductAnalysis[Total Sales]),0)</f>
        <v>0</v>
      </c>
      <c r="L57" s="17">
        <f t="shared" si="3"/>
        <v>0</v>
      </c>
      <c r="M57" s="78">
        <f>RANK(F57,$F$4:$F$59,0)+COUNTIF($F$4:F57,F57)-1</f>
        <v>56</v>
      </c>
      <c r="N57" s="17"/>
      <c r="O57" s="17"/>
      <c r="T57" s="10"/>
    </row>
    <row r="58" spans="1:20">
      <c r="A58" s="74" t="s">
        <v>191</v>
      </c>
      <c r="B58" t="str">
        <f>IFERROR(INDEX(tblProducts[Product Name],MATCH(A58,tblProducts[Product ID],0)),"")</f>
        <v>Filled Croissant Chocolate</v>
      </c>
      <c r="C58" t="str">
        <f>IFERROR(INDEX(tblProducts[Brand],MATCH(A58,tblProducts[Product ID],0)),"")</f>
        <v>Melegatti</v>
      </c>
      <c r="D58" t="str">
        <f>IFERROR(INDEX(tblProducts[Category],MATCH(A58,tblProducts[Product ID],0)),"")</f>
        <v>Cakes &amp; Croissants</v>
      </c>
      <c r="E58" s="85">
        <f>SUMIFS(tblSalesTransactions[Quantity],tblSalesTransactions[Product ID],A58)</f>
        <v>1765</v>
      </c>
      <c r="F58" s="85">
        <f>SUMIFS(tblSalesTransactions[Sales Amount],tblSalesTransactions[Product ID],A58)</f>
        <v>2206250</v>
      </c>
      <c r="G58" s="85">
        <f>COUNTIFS(tblSalesTransactions[Product ID],A58)</f>
        <v>12</v>
      </c>
      <c r="H58" s="85">
        <f t="shared" si="2"/>
        <v>1250</v>
      </c>
      <c r="I58" s="85">
        <f>SUMIFS(tblInventory[Closing Stock Qty],tblInventory[Product ID],A58,tblInventory[Snapshot Date],DATE(2026,12,31))</f>
        <v>38</v>
      </c>
      <c r="J58" s="85">
        <f>SUMIFS(tblInventory[Stock Value],tblInventory[Product ID],A58,tblInventory[Snapshot Date],DATE(2026,12,31))</f>
        <v>47500</v>
      </c>
      <c r="K58" s="13">
        <f>IFERROR(F58/SUM(tblProductAnalysis[Total Sales]),0)</f>
        <v>3.6614762906444616E-2</v>
      </c>
      <c r="L58" s="17">
        <f t="shared" si="3"/>
        <v>0.25835694050991498</v>
      </c>
      <c r="M58" s="78">
        <f>RANK(F58,$F$4:$F$59,0)+COUNTIF($F$4:F58,F58)-1</f>
        <v>11</v>
      </c>
      <c r="N58" s="17"/>
      <c r="O58" s="17"/>
      <c r="T58" s="10"/>
    </row>
    <row r="59" spans="1:20">
      <c r="A59" s="74" t="s">
        <v>193</v>
      </c>
      <c r="B59" t="str">
        <f>IFERROR(INDEX(tblProducts[Product Name],MATCH(A59,tblProducts[Product ID],0)),"")</f>
        <v>Filled Croissant Vanilla</v>
      </c>
      <c r="C59" t="str">
        <f>IFERROR(INDEX(tblProducts[Brand],MATCH(A59,tblProducts[Product ID],0)),"")</f>
        <v>Melegatti</v>
      </c>
      <c r="D59" t="str">
        <f>IFERROR(INDEX(tblProducts[Category],MATCH(A59,tblProducts[Product ID],0)),"")</f>
        <v>Cakes &amp; Croissants</v>
      </c>
      <c r="E59" s="85">
        <f>SUMIFS(tblSalesTransactions[Quantity],tblSalesTransactions[Product ID],A59)</f>
        <v>1445</v>
      </c>
      <c r="F59" s="85">
        <f>SUMIFS(tblSalesTransactions[Sales Amount],tblSalesTransactions[Product ID],A59)</f>
        <v>1950750</v>
      </c>
      <c r="G59" s="85">
        <f>COUNTIFS(tblSalesTransactions[Product ID],A59)</f>
        <v>12</v>
      </c>
      <c r="H59" s="85">
        <f t="shared" si="2"/>
        <v>1350</v>
      </c>
      <c r="I59" s="85">
        <f>SUMIFS(tblInventory[Closing Stock Qty],tblInventory[Product ID],A59,tblInventory[Snapshot Date],DATE(2026,12,31))</f>
        <v>37</v>
      </c>
      <c r="J59" s="85">
        <f>SUMIFS(tblInventory[Stock Value],tblInventory[Product ID],A59,tblInventory[Snapshot Date],DATE(2026,12,31))</f>
        <v>49950</v>
      </c>
      <c r="K59" s="13">
        <f>IFERROR(F59/SUM(tblProductAnalysis[Total Sales]),0)</f>
        <v>3.2374503678072215E-2</v>
      </c>
      <c r="L59" s="17">
        <f t="shared" si="3"/>
        <v>0.30726643598615916</v>
      </c>
      <c r="M59" s="78">
        <f>RANK(F59,$F$4:$F$59,0)+COUNTIF($F$4:F59,F59)-1</f>
        <v>14</v>
      </c>
      <c r="N59" s="17"/>
      <c r="O59" s="17"/>
      <c r="T59" s="10"/>
    </row>
    <row r="60" spans="1:20">
      <c r="E60" s="85">
        <f>SUBTOTAL(109,tblProductAnalysis[Total Quantity Sold])</f>
        <v>38025</v>
      </c>
      <c r="F60" s="85">
        <f>SUBTOTAL(109,tblProductAnalysis[Total Sales])</f>
        <v>60255750</v>
      </c>
      <c r="G60" s="85"/>
      <c r="H60" s="85"/>
      <c r="I60" s="85"/>
      <c r="J60" s="85">
        <f>SUBTOTAL(109,tblProductAnalysis[Distributor Stock Value])</f>
        <v>3553500</v>
      </c>
      <c r="K60" s="13"/>
      <c r="L60" s="46"/>
      <c r="M60" s="10"/>
    </row>
  </sheetData>
  <phoneticPr fontId="6" type="noConversion"/>
  <pageMargins left="0.7" right="0.7" top="0.75" bottom="0.75" header="0.3" footer="0.3"/>
  <pageSetup orientation="portrait"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647D1-A47F-4F16-A502-A2372F4C4EFF}">
  <dimension ref="A1:K33"/>
  <sheetViews>
    <sheetView workbookViewId="0"/>
  </sheetViews>
  <sheetFormatPr defaultRowHeight="15"/>
  <cols>
    <col min="1" max="1" width="9.140625" bestFit="1" customWidth="1"/>
    <col min="2" max="2" width="11.5703125" bestFit="1" customWidth="1"/>
    <col min="3" max="3" width="17.140625" customWidth="1"/>
    <col min="4" max="4" width="20.42578125" bestFit="1" customWidth="1"/>
    <col min="5" max="5" width="14.7109375" bestFit="1" customWidth="1"/>
    <col min="6" max="6" width="23.7109375" bestFit="1" customWidth="1"/>
    <col min="7" max="7" width="15.7109375" customWidth="1"/>
    <col min="8" max="8" width="1.140625" customWidth="1"/>
    <col min="9" max="9" width="7.42578125" bestFit="1" customWidth="1"/>
    <col min="10" max="10" width="11.5703125" bestFit="1" customWidth="1"/>
    <col min="11" max="11" width="13.5703125" bestFit="1" customWidth="1"/>
  </cols>
  <sheetData>
    <row r="1" spans="1:11" ht="15.75">
      <c r="A1" s="113" t="s">
        <v>636</v>
      </c>
    </row>
    <row r="2" spans="1:11" ht="15.75" thickBot="1"/>
    <row r="3" spans="1:11" ht="15.75" thickBot="1">
      <c r="A3" s="50" t="s">
        <v>198</v>
      </c>
      <c r="B3" s="51" t="s">
        <v>197</v>
      </c>
      <c r="C3" s="51" t="s">
        <v>599</v>
      </c>
      <c r="D3" s="51" t="s">
        <v>632</v>
      </c>
      <c r="E3" s="51" t="s">
        <v>633</v>
      </c>
      <c r="F3" s="52" t="s">
        <v>634</v>
      </c>
      <c r="G3" s="4"/>
      <c r="H3" s="4"/>
      <c r="I3" s="26" t="s">
        <v>198</v>
      </c>
      <c r="J3" s="27" t="s">
        <v>599</v>
      </c>
      <c r="K3" s="28" t="s">
        <v>635</v>
      </c>
    </row>
    <row r="4" spans="1:11">
      <c r="A4" s="114">
        <v>46023</v>
      </c>
      <c r="B4" s="115">
        <f>MONTH(A4)</f>
        <v>1</v>
      </c>
      <c r="C4" s="120">
        <f>SUMIFS(tblSalesTransactions[Sales Amount],tblSalesTransactions[Date],"&gt;="&amp;A4,tblSalesTransactions[Date],"&lt;"&amp;EDATE(A4,1))</f>
        <v>5691250</v>
      </c>
      <c r="D4" s="120"/>
      <c r="E4" s="25"/>
      <c r="F4" s="123"/>
      <c r="I4" s="24">
        <f>A4</f>
        <v>46023</v>
      </c>
      <c r="J4" s="120">
        <f>C4</f>
        <v>5691250</v>
      </c>
      <c r="K4" s="123"/>
    </row>
    <row r="5" spans="1:11">
      <c r="A5" s="116">
        <v>46054</v>
      </c>
      <c r="B5" s="117">
        <f t="shared" ref="B5:B15" si="0">MONTH(A5)</f>
        <v>2</v>
      </c>
      <c r="C5" s="121">
        <f>SUMIFS(tblSalesTransactions[Sales Amount],tblSalesTransactions[Date],"&gt;="&amp;A5,tblSalesTransactions[Date],"&lt;"&amp;EDATE(A5,1))</f>
        <v>4273750</v>
      </c>
      <c r="D5" s="121">
        <f>C4</f>
        <v>5691250</v>
      </c>
      <c r="E5" s="20">
        <f>IFERROR((C6-D6)/D6,0)</f>
        <v>5.4752851711026618E-2</v>
      </c>
      <c r="F5" s="29"/>
      <c r="I5" s="21">
        <f t="shared" ref="I5:I15" si="1">A5</f>
        <v>46054</v>
      </c>
      <c r="J5" s="121">
        <f t="shared" ref="J5:J16" si="2">C5</f>
        <v>4273750</v>
      </c>
      <c r="K5" s="29"/>
    </row>
    <row r="6" spans="1:11">
      <c r="A6" s="116">
        <v>46082</v>
      </c>
      <c r="B6" s="117">
        <f t="shared" si="0"/>
        <v>3</v>
      </c>
      <c r="C6" s="121">
        <f>SUMIFS(tblSalesTransactions[Sales Amount],tblSalesTransactions[Date],"&gt;="&amp;A6,tblSalesTransactions[Date],"&lt;"&amp;EDATE(A6,1))</f>
        <v>4507750</v>
      </c>
      <c r="D6" s="121">
        <f t="shared" ref="D6:D15" si="3">C5</f>
        <v>4273750</v>
      </c>
      <c r="E6" s="20">
        <f>IFERROR((C7-D7)/D7,0)</f>
        <v>-0.13482335976928622</v>
      </c>
      <c r="F6" s="29">
        <f t="shared" ref="F6:F15" si="4">AVERAGE(C4:C6)</f>
        <v>4824250</v>
      </c>
      <c r="I6" s="21">
        <f t="shared" si="1"/>
        <v>46082</v>
      </c>
      <c r="J6" s="121">
        <f t="shared" si="2"/>
        <v>4507750</v>
      </c>
      <c r="K6" s="29"/>
    </row>
    <row r="7" spans="1:11">
      <c r="A7" s="116">
        <v>46113</v>
      </c>
      <c r="B7" s="117">
        <f t="shared" si="0"/>
        <v>4</v>
      </c>
      <c r="C7" s="121">
        <f>SUMIFS(tblSalesTransactions[Sales Amount],tblSalesTransactions[Date],"&gt;="&amp;A7,tblSalesTransactions[Date],"&lt;"&amp;EDATE(A7,1))</f>
        <v>3900000</v>
      </c>
      <c r="D7" s="121">
        <f t="shared" si="3"/>
        <v>4507750</v>
      </c>
      <c r="E7" s="20">
        <f>IFERROR((C8-D8)/D8,0)</f>
        <v>0.18006410256410257</v>
      </c>
      <c r="F7" s="29">
        <f t="shared" si="4"/>
        <v>4227166.666666667</v>
      </c>
      <c r="I7" s="21">
        <f t="shared" si="1"/>
        <v>46113</v>
      </c>
      <c r="J7" s="121">
        <f t="shared" si="2"/>
        <v>3900000</v>
      </c>
      <c r="K7" s="29"/>
    </row>
    <row r="8" spans="1:11">
      <c r="A8" s="116">
        <v>46143</v>
      </c>
      <c r="B8" s="117">
        <f t="shared" si="0"/>
        <v>5</v>
      </c>
      <c r="C8" s="121">
        <f>SUMIFS(tblSalesTransactions[Sales Amount],tblSalesTransactions[Date],"&gt;="&amp;A8,tblSalesTransactions[Date],"&lt;"&amp;EDATE(A8,1))</f>
        <v>4602250</v>
      </c>
      <c r="D8" s="121">
        <f t="shared" si="3"/>
        <v>3900000</v>
      </c>
      <c r="E8" s="20">
        <f>IFERROR((C9-D9)/D9,0)</f>
        <v>2.7540876745070345E-2</v>
      </c>
      <c r="F8" s="29">
        <f t="shared" si="4"/>
        <v>4336666.666666667</v>
      </c>
      <c r="I8" s="21">
        <f t="shared" si="1"/>
        <v>46143</v>
      </c>
      <c r="J8" s="121">
        <f t="shared" si="2"/>
        <v>4602250</v>
      </c>
      <c r="K8" s="29"/>
    </row>
    <row r="9" spans="1:11">
      <c r="A9" s="116">
        <v>46174</v>
      </c>
      <c r="B9" s="117">
        <f t="shared" si="0"/>
        <v>6</v>
      </c>
      <c r="C9" s="121">
        <f>SUMIFS(tblSalesTransactions[Sales Amount],tblSalesTransactions[Date],"&gt;="&amp;A9,tblSalesTransactions[Date],"&lt;"&amp;EDATE(A9,1))</f>
        <v>4729000</v>
      </c>
      <c r="D9" s="121">
        <f t="shared" si="3"/>
        <v>4602250</v>
      </c>
      <c r="E9" s="20">
        <f t="shared" ref="E9:E15" si="5">IFERROR((C10-D10)/D10,0)</f>
        <v>-6.2645379572848381E-2</v>
      </c>
      <c r="F9" s="29">
        <f t="shared" si="4"/>
        <v>4410416.666666667</v>
      </c>
      <c r="I9" s="21">
        <f t="shared" si="1"/>
        <v>46174</v>
      </c>
      <c r="J9" s="121">
        <f t="shared" si="2"/>
        <v>4729000</v>
      </c>
      <c r="K9" s="29"/>
    </row>
    <row r="10" spans="1:11">
      <c r="A10" s="116">
        <v>46204</v>
      </c>
      <c r="B10" s="117">
        <f t="shared" si="0"/>
        <v>7</v>
      </c>
      <c r="C10" s="121">
        <f>SUMIFS(tblSalesTransactions[Sales Amount],tblSalesTransactions[Date],"&gt;="&amp;A10,tblSalesTransactions[Date],"&lt;"&amp;EDATE(A10,1))</f>
        <v>4432750</v>
      </c>
      <c r="D10" s="121">
        <f t="shared" si="3"/>
        <v>4729000</v>
      </c>
      <c r="E10" s="20">
        <f t="shared" si="5"/>
        <v>0.11251480457954995</v>
      </c>
      <c r="F10" s="29">
        <f t="shared" si="4"/>
        <v>4588000</v>
      </c>
      <c r="I10" s="21">
        <f t="shared" si="1"/>
        <v>46204</v>
      </c>
      <c r="J10" s="121">
        <f t="shared" si="2"/>
        <v>4432750</v>
      </c>
      <c r="K10" s="29"/>
    </row>
    <row r="11" spans="1:11">
      <c r="A11" s="116">
        <v>46235</v>
      </c>
      <c r="B11" s="117">
        <f t="shared" si="0"/>
        <v>8</v>
      </c>
      <c r="C11" s="121">
        <f>SUMIFS(tblSalesTransactions[Sales Amount],tblSalesTransactions[Date],"&gt;="&amp;A11,tblSalesTransactions[Date],"&lt;"&amp;EDATE(A11,1))</f>
        <v>4931500</v>
      </c>
      <c r="D11" s="121">
        <f t="shared" si="3"/>
        <v>4432750</v>
      </c>
      <c r="E11" s="20">
        <f t="shared" si="5"/>
        <v>5.2570211903072088E-2</v>
      </c>
      <c r="F11" s="29">
        <f t="shared" si="4"/>
        <v>4697750</v>
      </c>
      <c r="I11" s="21">
        <f t="shared" si="1"/>
        <v>46235</v>
      </c>
      <c r="J11" s="121">
        <f t="shared" si="2"/>
        <v>4931500</v>
      </c>
      <c r="K11" s="29"/>
    </row>
    <row r="12" spans="1:11">
      <c r="A12" s="116">
        <v>46266</v>
      </c>
      <c r="B12" s="117">
        <f t="shared" si="0"/>
        <v>9</v>
      </c>
      <c r="C12" s="121">
        <f>SUMIFS(tblSalesTransactions[Sales Amount],tblSalesTransactions[Date],"&gt;="&amp;A12,tblSalesTransactions[Date],"&lt;"&amp;EDATE(A12,1))</f>
        <v>5190750</v>
      </c>
      <c r="D12" s="121">
        <f t="shared" si="3"/>
        <v>4931500</v>
      </c>
      <c r="E12" s="20">
        <f t="shared" si="5"/>
        <v>5.153397871213216E-2</v>
      </c>
      <c r="F12" s="29">
        <f t="shared" si="4"/>
        <v>4851666.666666667</v>
      </c>
      <c r="I12" s="21">
        <f t="shared" si="1"/>
        <v>46266</v>
      </c>
      <c r="J12" s="121">
        <f t="shared" si="2"/>
        <v>5190750</v>
      </c>
      <c r="K12" s="29"/>
    </row>
    <row r="13" spans="1:11">
      <c r="A13" s="116">
        <v>46296</v>
      </c>
      <c r="B13" s="117">
        <f t="shared" si="0"/>
        <v>10</v>
      </c>
      <c r="C13" s="121">
        <f>SUMIFS(tblSalesTransactions[Sales Amount],tblSalesTransactions[Date],"&gt;="&amp;A13,tblSalesTransactions[Date],"&lt;"&amp;EDATE(A13,1))</f>
        <v>5458250</v>
      </c>
      <c r="D13" s="121">
        <f t="shared" si="3"/>
        <v>5190750</v>
      </c>
      <c r="E13" s="20">
        <f t="shared" si="5"/>
        <v>8.6612009343654095E-2</v>
      </c>
      <c r="F13" s="29">
        <f t="shared" si="4"/>
        <v>5193500</v>
      </c>
      <c r="I13" s="21">
        <f t="shared" si="1"/>
        <v>46296</v>
      </c>
      <c r="J13" s="121">
        <f t="shared" si="2"/>
        <v>5458250</v>
      </c>
      <c r="K13" s="29"/>
    </row>
    <row r="14" spans="1:11">
      <c r="A14" s="116">
        <v>46327</v>
      </c>
      <c r="B14" s="117">
        <f t="shared" si="0"/>
        <v>11</v>
      </c>
      <c r="C14" s="121">
        <f>SUMIFS(tblSalesTransactions[Sales Amount],tblSalesTransactions[Date],"&gt;="&amp;A14,tblSalesTransactions[Date],"&lt;"&amp;EDATE(A14,1))</f>
        <v>5931000</v>
      </c>
      <c r="D14" s="121">
        <f t="shared" si="3"/>
        <v>5458250</v>
      </c>
      <c r="E14" s="20">
        <f t="shared" si="5"/>
        <v>0.11406170966110268</v>
      </c>
      <c r="F14" s="29">
        <f t="shared" si="4"/>
        <v>5526666.666666667</v>
      </c>
      <c r="I14" s="21">
        <f t="shared" si="1"/>
        <v>46327</v>
      </c>
      <c r="J14" s="121">
        <f t="shared" si="2"/>
        <v>5931000</v>
      </c>
      <c r="K14" s="29"/>
    </row>
    <row r="15" spans="1:11" ht="15.75" thickBot="1">
      <c r="A15" s="118">
        <v>46357</v>
      </c>
      <c r="B15" s="119">
        <f t="shared" si="0"/>
        <v>12</v>
      </c>
      <c r="C15" s="122">
        <f>SUMIFS(tblSalesTransactions[Sales Amount],tblSalesTransactions[Date],"&gt;="&amp;A15,tblSalesTransactions[Date],"&lt;"&amp;EDATE(A15,1))</f>
        <v>6607500</v>
      </c>
      <c r="D15" s="122">
        <f t="shared" si="3"/>
        <v>5931000</v>
      </c>
      <c r="E15" s="23">
        <f t="shared" si="5"/>
        <v>0</v>
      </c>
      <c r="F15" s="30">
        <f t="shared" si="4"/>
        <v>5998916.666666667</v>
      </c>
      <c r="I15" s="21">
        <f t="shared" si="1"/>
        <v>46357</v>
      </c>
      <c r="J15" s="121">
        <f t="shared" si="2"/>
        <v>6607500</v>
      </c>
      <c r="K15" s="29"/>
    </row>
    <row r="16" spans="1:11">
      <c r="I16" s="21">
        <f>A20</f>
        <v>46388</v>
      </c>
      <c r="J16" s="121"/>
      <c r="K16" s="29">
        <f>B20</f>
        <v>5998916.666666667</v>
      </c>
    </row>
    <row r="17" spans="1:11">
      <c r="I17" s="21">
        <f t="shared" ref="I17:I18" si="6">A21</f>
        <v>46419</v>
      </c>
      <c r="J17" s="121"/>
      <c r="K17" s="29">
        <f>B21</f>
        <v>6179138.888888889</v>
      </c>
    </row>
    <row r="18" spans="1:11" ht="15.75" thickBot="1">
      <c r="I18" s="22">
        <f t="shared" si="6"/>
        <v>46447</v>
      </c>
      <c r="J18" s="122"/>
      <c r="K18" s="30">
        <f>B22</f>
        <v>6261851.8518518517</v>
      </c>
    </row>
    <row r="19" spans="1:11" ht="30.75" thickBot="1">
      <c r="A19" s="126" t="s">
        <v>637</v>
      </c>
      <c r="B19" s="127" t="s">
        <v>635</v>
      </c>
      <c r="C19" s="127" t="s">
        <v>638</v>
      </c>
      <c r="D19" s="128" t="s">
        <v>650</v>
      </c>
      <c r="F19" s="18" t="s">
        <v>639</v>
      </c>
      <c r="G19" s="5"/>
      <c r="H19" s="5"/>
    </row>
    <row r="20" spans="1:11" ht="36.75" thickBot="1">
      <c r="A20" s="134">
        <v>46388</v>
      </c>
      <c r="B20" s="129">
        <f>AVERAGE(C13:C15)</f>
        <v>5998916.666666667</v>
      </c>
      <c r="C20" s="140" t="s">
        <v>668</v>
      </c>
      <c r="D20" s="137" t="s">
        <v>657</v>
      </c>
      <c r="F20" s="143" t="s">
        <v>660</v>
      </c>
      <c r="G20" s="144" t="s">
        <v>661</v>
      </c>
      <c r="H20" s="31"/>
    </row>
    <row r="21" spans="1:11" ht="36">
      <c r="A21" s="135">
        <v>46419</v>
      </c>
      <c r="B21" s="124">
        <f>AVERAGE(C14:C15,B20)</f>
        <v>6179138.888888889</v>
      </c>
      <c r="C21" s="141" t="s">
        <v>668</v>
      </c>
      <c r="D21" s="138" t="s">
        <v>658</v>
      </c>
      <c r="F21" s="145" t="s">
        <v>640</v>
      </c>
      <c r="G21" s="45">
        <f>MAX(tblSalesTransactions[Date])</f>
        <v>46384</v>
      </c>
      <c r="H21" s="32"/>
    </row>
    <row r="22" spans="1:11" ht="36.75" thickBot="1">
      <c r="A22" s="136">
        <v>46447</v>
      </c>
      <c r="B22" s="125">
        <f>AVERAGE(C15,B20:B21)</f>
        <v>6261851.8518518517</v>
      </c>
      <c r="C22" s="142" t="s">
        <v>668</v>
      </c>
      <c r="D22" s="139" t="s">
        <v>659</v>
      </c>
      <c r="F22" s="146" t="s">
        <v>641</v>
      </c>
      <c r="G22" s="35">
        <f>AVERAGE(C13:C15)</f>
        <v>5998916.666666667</v>
      </c>
      <c r="H22" s="33"/>
    </row>
    <row r="23" spans="1:11">
      <c r="F23" s="146" t="s">
        <v>662</v>
      </c>
      <c r="G23" s="35">
        <f>B20</f>
        <v>5998916.666666667</v>
      </c>
      <c r="H23" s="33"/>
    </row>
    <row r="24" spans="1:11">
      <c r="F24" s="146" t="s">
        <v>663</v>
      </c>
      <c r="G24" s="35">
        <f>B21</f>
        <v>6179138.888888889</v>
      </c>
      <c r="H24" s="33"/>
    </row>
    <row r="25" spans="1:11">
      <c r="A25" s="133" t="s">
        <v>642</v>
      </c>
      <c r="B25" s="133" t="s">
        <v>643</v>
      </c>
      <c r="F25" s="146" t="s">
        <v>664</v>
      </c>
      <c r="G25" s="35">
        <f>B22</f>
        <v>6261851.8518518517</v>
      </c>
      <c r="H25" s="33"/>
    </row>
    <row r="26" spans="1:11" ht="24">
      <c r="A26" s="132" t="s">
        <v>644</v>
      </c>
      <c r="B26" s="130" t="s">
        <v>645</v>
      </c>
      <c r="F26" s="147" t="s">
        <v>638</v>
      </c>
      <c r="G26" s="36" t="s">
        <v>656</v>
      </c>
      <c r="H26" s="34"/>
    </row>
    <row r="27" spans="1:11" ht="22.5">
      <c r="A27" s="132" t="s">
        <v>646</v>
      </c>
      <c r="B27" s="131" t="s">
        <v>647</v>
      </c>
    </row>
    <row r="28" spans="1:11" ht="22.5">
      <c r="A28" s="132" t="s">
        <v>648</v>
      </c>
      <c r="B28" s="131" t="s">
        <v>649</v>
      </c>
    </row>
    <row r="29" spans="1:11" ht="22.5">
      <c r="A29" s="132" t="s">
        <v>650</v>
      </c>
      <c r="B29" s="131" t="s">
        <v>651</v>
      </c>
    </row>
    <row r="30" spans="1:11" ht="22.5">
      <c r="A30" s="132" t="s">
        <v>652</v>
      </c>
      <c r="B30" s="131" t="s">
        <v>653</v>
      </c>
    </row>
    <row r="31" spans="1:11">
      <c r="A31" s="132" t="s">
        <v>654</v>
      </c>
      <c r="B31" s="131" t="s">
        <v>655</v>
      </c>
    </row>
    <row r="32" spans="1:11" ht="22.5">
      <c r="A32" s="132" t="s">
        <v>665</v>
      </c>
      <c r="B32" s="131" t="s">
        <v>666</v>
      </c>
    </row>
    <row r="33" spans="1:2">
      <c r="A33" s="4"/>
      <c r="B33" s="131" t="s">
        <v>667</v>
      </c>
    </row>
  </sheetData>
  <pageMargins left="0.7" right="0.7" top="0.75" bottom="0.75" header="0.3" footer="0.3"/>
  <pageSetup orientation="portrait" r:id="rId1"/>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DADF-091E-4CFF-B224-F0DD72B9887D}">
  <dimension ref="A1:AC31"/>
  <sheetViews>
    <sheetView showGridLines="0" zoomScale="70" zoomScaleNormal="70" workbookViewId="0">
      <selection activeCell="A2" sqref="A2:N2"/>
    </sheetView>
  </sheetViews>
  <sheetFormatPr defaultRowHeight="15"/>
  <cols>
    <col min="1" max="1" width="14.28515625" bestFit="1" customWidth="1"/>
    <col min="4" max="4" width="14.85546875" bestFit="1" customWidth="1"/>
    <col min="10" max="10" width="16" bestFit="1" customWidth="1"/>
    <col min="17" max="17" width="11.5703125" bestFit="1" customWidth="1"/>
    <col min="18" max="18" width="14.42578125" bestFit="1" customWidth="1"/>
  </cols>
  <sheetData>
    <row r="1" spans="1:29" ht="21">
      <c r="A1" s="62" t="s">
        <v>754</v>
      </c>
      <c r="B1" s="62"/>
      <c r="C1" s="62"/>
      <c r="D1" s="62"/>
      <c r="E1" s="62"/>
      <c r="F1" s="62"/>
      <c r="G1" s="62"/>
      <c r="H1" s="62"/>
      <c r="I1" s="62"/>
      <c r="J1" s="62"/>
      <c r="K1" s="62"/>
      <c r="L1" s="62"/>
      <c r="M1" s="62"/>
      <c r="N1" s="62"/>
      <c r="AA1" s="3"/>
      <c r="AB1" s="3"/>
      <c r="AC1" s="37"/>
    </row>
    <row r="2" spans="1:29">
      <c r="A2" s="63" t="s">
        <v>669</v>
      </c>
      <c r="B2" s="63"/>
      <c r="C2" s="63"/>
      <c r="D2" s="63"/>
      <c r="E2" s="63"/>
      <c r="F2" s="63"/>
      <c r="G2" s="63"/>
      <c r="H2" s="63"/>
      <c r="I2" s="63"/>
      <c r="J2" s="63"/>
      <c r="K2" s="63"/>
      <c r="L2" s="63"/>
      <c r="M2" s="63"/>
      <c r="N2" s="63"/>
      <c r="P2" s="40" t="s">
        <v>0</v>
      </c>
      <c r="Q2" s="40" t="s">
        <v>1</v>
      </c>
      <c r="R2" s="41" t="s">
        <v>610</v>
      </c>
      <c r="AA2" s="4"/>
      <c r="AB2" s="4"/>
      <c r="AC2" s="19"/>
    </row>
    <row r="3" spans="1:29">
      <c r="A3" s="38"/>
      <c r="B3" s="38"/>
      <c r="C3" s="38"/>
      <c r="D3" s="38"/>
      <c r="E3" s="38"/>
      <c r="F3" s="38"/>
      <c r="G3" s="38"/>
      <c r="H3" s="38"/>
      <c r="I3" s="38"/>
      <c r="J3" s="38"/>
      <c r="K3" s="38"/>
      <c r="L3" s="38"/>
      <c r="M3" s="38"/>
      <c r="N3" s="38"/>
      <c r="P3" s="42" t="s">
        <v>4</v>
      </c>
      <c r="Q3" s="42" t="str">
        <f>IFERROR(INDEX(tblCities[City],MATCH(P3,tblCities[City ID],0)),"")</f>
        <v>Karachi</v>
      </c>
      <c r="R3" s="43">
        <f>SUMIFS(tblSalesTransactions[Sales Amount],tblSalesTransactions[City ID],P3)</f>
        <v>11422000</v>
      </c>
      <c r="AA3" s="4"/>
      <c r="AB3" s="4"/>
      <c r="AC3" s="19"/>
    </row>
    <row r="4" spans="1:29">
      <c r="A4" s="64" t="s">
        <v>674</v>
      </c>
      <c r="B4" s="64"/>
      <c r="C4" s="64"/>
      <c r="D4" s="64" t="s">
        <v>675</v>
      </c>
      <c r="E4" s="64"/>
      <c r="F4" s="64"/>
      <c r="G4" s="64" t="s">
        <v>676</v>
      </c>
      <c r="H4" s="64"/>
      <c r="I4" s="64"/>
      <c r="J4" s="64" t="s">
        <v>716</v>
      </c>
      <c r="K4" s="64"/>
      <c r="L4" s="64"/>
      <c r="M4" s="38"/>
      <c r="N4" s="38"/>
      <c r="P4" s="42" t="s">
        <v>8</v>
      </c>
      <c r="Q4" s="42" t="str">
        <f>IFERROR(INDEX(tblCities[City],MATCH(P4,tblCities[City ID],0)),"")</f>
        <v>Lahore</v>
      </c>
      <c r="R4" s="43">
        <f>SUMIFS(tblSalesTransactions[Sales Amount],tblSalesTransactions[City ID],P4)</f>
        <v>17938000</v>
      </c>
      <c r="AA4" s="4"/>
      <c r="AB4" s="4"/>
      <c r="AC4" s="19"/>
    </row>
    <row r="5" spans="1:29">
      <c r="A5" s="64"/>
      <c r="B5" s="64"/>
      <c r="C5" s="64"/>
      <c r="D5" s="64"/>
      <c r="E5" s="64"/>
      <c r="F5" s="64"/>
      <c r="G5" s="64"/>
      <c r="H5" s="64"/>
      <c r="I5" s="64"/>
      <c r="J5" s="64"/>
      <c r="K5" s="64"/>
      <c r="L5" s="64"/>
      <c r="M5" s="38"/>
      <c r="N5" s="38"/>
      <c r="P5" s="42" t="s">
        <v>11</v>
      </c>
      <c r="Q5" s="42" t="str">
        <f>IFERROR(INDEX(tblCities[City],MATCH(P5,tblCities[City ID],0)),"")</f>
        <v>Islamabad</v>
      </c>
      <c r="R5" s="43">
        <f>SUMIFS(tblSalesTransactions[Sales Amount],tblSalesTransactions[City ID],P5)</f>
        <v>18894750</v>
      </c>
      <c r="AA5" s="4"/>
      <c r="AB5" s="4"/>
      <c r="AC5" s="19"/>
    </row>
    <row r="6" spans="1:29">
      <c r="A6" s="65"/>
      <c r="B6" s="65"/>
      <c r="C6" s="65"/>
      <c r="D6" s="64"/>
      <c r="E6" s="64"/>
      <c r="F6" s="64"/>
      <c r="G6" s="64"/>
      <c r="H6" s="64"/>
      <c r="I6" s="64"/>
      <c r="J6" s="65"/>
      <c r="K6" s="65"/>
      <c r="L6" s="65"/>
      <c r="M6" s="38"/>
      <c r="N6" s="38"/>
      <c r="P6" s="42" t="s">
        <v>14</v>
      </c>
      <c r="Q6" s="42" t="str">
        <f>IFERROR(INDEX(tblCities[City],MATCH(P6,tblCities[City ID],0)),"")</f>
        <v>Rawalpindi</v>
      </c>
      <c r="R6" s="43">
        <f>SUMIFS(tblSalesTransactions[Sales Amount],tblSalesTransactions[City ID],P6)</f>
        <v>12001000</v>
      </c>
    </row>
    <row r="7" spans="1:29" ht="21">
      <c r="A7" s="53">
        <f>SUM(tblSalesTransactions[Sales Amount])</f>
        <v>60255750</v>
      </c>
      <c r="B7" s="54"/>
      <c r="C7" s="55"/>
      <c r="D7" s="53">
        <f>SUM(tblSalesTargets[Target Amount])</f>
        <v>348075000</v>
      </c>
      <c r="E7" s="54"/>
      <c r="F7" s="55"/>
      <c r="G7" s="56">
        <f>IFERROR(SUM(tblSalesTransactions[Sales Amount])/SUM(tblSalesTargets[Target Amount]),0)</f>
        <v>0.17311139840551606</v>
      </c>
      <c r="H7" s="57"/>
      <c r="I7" s="58"/>
      <c r="J7" s="59">
        <f>SUM(tblSalesTransactions[Sales Amount])-SUM(tblSalesTargets[Target Amount])</f>
        <v>-287819250</v>
      </c>
      <c r="K7" s="60"/>
      <c r="L7" s="61"/>
      <c r="M7" s="39"/>
      <c r="N7" s="38"/>
    </row>
    <row r="8" spans="1:29">
      <c r="A8" s="66" t="s">
        <v>670</v>
      </c>
      <c r="B8" s="66"/>
      <c r="C8" s="66"/>
      <c r="D8" s="66"/>
      <c r="E8" s="66"/>
      <c r="F8" s="66"/>
      <c r="G8" s="66"/>
      <c r="H8" s="67" t="s">
        <v>606</v>
      </c>
      <c r="I8" s="67"/>
      <c r="J8" s="67"/>
      <c r="K8" s="67"/>
      <c r="L8" s="67"/>
      <c r="M8" s="67"/>
      <c r="N8" s="67"/>
    </row>
    <row r="9" spans="1:29">
      <c r="A9" s="38"/>
      <c r="B9" s="38"/>
      <c r="C9" s="38"/>
      <c r="D9" s="38"/>
      <c r="E9" s="38"/>
      <c r="F9" s="38"/>
      <c r="G9" s="38"/>
      <c r="H9" s="38"/>
      <c r="I9" s="38"/>
      <c r="J9" s="38"/>
      <c r="K9" s="38"/>
      <c r="L9" s="38"/>
      <c r="M9" s="38"/>
      <c r="N9" s="38"/>
    </row>
    <row r="10" spans="1:29">
      <c r="A10" s="38"/>
      <c r="B10" s="38"/>
      <c r="C10" s="38"/>
      <c r="D10" s="38"/>
      <c r="E10" s="38"/>
      <c r="F10" s="38"/>
      <c r="G10" s="38"/>
      <c r="H10" s="38"/>
      <c r="I10" s="38"/>
      <c r="J10" s="38"/>
      <c r="K10" s="38"/>
      <c r="L10" s="38"/>
      <c r="M10" s="38"/>
      <c r="N10" s="38"/>
    </row>
    <row r="11" spans="1:29">
      <c r="A11" s="38"/>
      <c r="B11" s="38"/>
      <c r="C11" s="38"/>
      <c r="D11" s="38"/>
      <c r="E11" s="38"/>
      <c r="F11" s="38"/>
      <c r="G11" s="38"/>
      <c r="H11" s="38"/>
      <c r="I11" s="38"/>
      <c r="J11" s="38"/>
      <c r="K11" s="38"/>
      <c r="L11" s="38"/>
      <c r="M11" s="38"/>
      <c r="N11" s="38"/>
    </row>
    <row r="12" spans="1:29">
      <c r="A12" s="38"/>
      <c r="B12" s="38"/>
      <c r="C12" s="38"/>
      <c r="D12" s="38"/>
      <c r="E12" s="38"/>
      <c r="F12" s="38"/>
      <c r="G12" s="38"/>
      <c r="H12" s="38"/>
      <c r="I12" s="38"/>
      <c r="J12" s="38"/>
      <c r="K12" s="38"/>
      <c r="L12" s="38"/>
      <c r="M12" s="38"/>
      <c r="N12" s="38"/>
    </row>
    <row r="13" spans="1:29">
      <c r="A13" s="38"/>
      <c r="B13" s="38"/>
      <c r="C13" s="38"/>
      <c r="D13" s="38"/>
      <c r="E13" s="38"/>
      <c r="F13" s="38"/>
      <c r="G13" s="38"/>
      <c r="H13" s="38"/>
      <c r="I13" s="38"/>
      <c r="J13" s="38"/>
      <c r="K13" s="38"/>
      <c r="L13" s="38"/>
      <c r="M13" s="38"/>
      <c r="N13" s="38"/>
    </row>
    <row r="14" spans="1:29">
      <c r="A14" s="38"/>
      <c r="B14" s="38"/>
      <c r="C14" s="38"/>
      <c r="D14" s="38"/>
      <c r="E14" s="38"/>
      <c r="F14" s="38"/>
      <c r="G14" s="38"/>
      <c r="H14" s="38"/>
      <c r="I14" s="38"/>
      <c r="J14" s="38"/>
      <c r="K14" s="38"/>
      <c r="L14" s="38"/>
      <c r="M14" s="38"/>
      <c r="N14" s="38"/>
    </row>
    <row r="15" spans="1:29">
      <c r="A15" s="38"/>
      <c r="B15" s="38"/>
      <c r="C15" s="38"/>
      <c r="D15" s="38"/>
      <c r="E15" s="38"/>
      <c r="F15" s="38"/>
      <c r="G15" s="38"/>
      <c r="H15" s="38"/>
      <c r="I15" s="38"/>
      <c r="J15" s="38"/>
      <c r="K15" s="38"/>
      <c r="L15" s="38"/>
      <c r="M15" s="38"/>
      <c r="N15" s="38"/>
    </row>
    <row r="16" spans="1:29">
      <c r="A16" s="38"/>
      <c r="B16" s="38"/>
      <c r="C16" s="38"/>
      <c r="D16" s="38"/>
      <c r="E16" s="38"/>
      <c r="F16" s="38"/>
      <c r="G16" s="38"/>
      <c r="H16" s="38"/>
      <c r="I16" s="38"/>
      <c r="J16" s="38"/>
      <c r="K16" s="38"/>
      <c r="L16" s="38"/>
      <c r="M16" s="38"/>
      <c r="N16" s="38"/>
    </row>
    <row r="17" spans="1:14">
      <c r="A17" s="67" t="s">
        <v>671</v>
      </c>
      <c r="B17" s="67"/>
      <c r="C17" s="67"/>
      <c r="D17" s="67"/>
      <c r="E17" s="67"/>
      <c r="F17" s="67"/>
      <c r="G17" s="67"/>
      <c r="H17" s="67" t="s">
        <v>672</v>
      </c>
      <c r="I17" s="67"/>
      <c r="J17" s="67"/>
      <c r="K17" s="67"/>
      <c r="L17" s="67"/>
      <c r="M17" s="67"/>
      <c r="N17" s="67"/>
    </row>
    <row r="18" spans="1:14">
      <c r="A18" s="38"/>
      <c r="B18" s="38"/>
      <c r="C18" s="38"/>
      <c r="D18" s="38"/>
      <c r="E18" s="38"/>
      <c r="F18" s="38"/>
      <c r="G18" s="38"/>
      <c r="H18" s="38"/>
      <c r="I18" s="38"/>
      <c r="J18" s="38"/>
      <c r="K18" s="38"/>
      <c r="L18" s="38"/>
      <c r="M18" s="38"/>
      <c r="N18" s="38"/>
    </row>
    <row r="19" spans="1:14">
      <c r="A19" s="38"/>
      <c r="B19" s="38"/>
      <c r="C19" s="38"/>
      <c r="D19" s="38"/>
      <c r="E19" s="38"/>
      <c r="F19" s="38"/>
      <c r="G19" s="38"/>
      <c r="H19" s="38"/>
      <c r="I19" s="38"/>
      <c r="J19" s="38"/>
      <c r="K19" s="38"/>
      <c r="L19" s="38"/>
      <c r="M19" s="38"/>
      <c r="N19" s="38"/>
    </row>
    <row r="20" spans="1:14">
      <c r="A20" s="38"/>
      <c r="B20" s="38"/>
      <c r="C20" s="38"/>
      <c r="D20" s="38"/>
      <c r="E20" s="38"/>
      <c r="F20" s="38"/>
      <c r="G20" s="38"/>
      <c r="H20" s="38"/>
      <c r="I20" s="38"/>
      <c r="J20" s="38"/>
      <c r="K20" s="38"/>
      <c r="L20" s="38"/>
      <c r="M20" s="38"/>
      <c r="N20" s="38"/>
    </row>
    <row r="21" spans="1:14">
      <c r="A21" s="38"/>
      <c r="B21" s="38"/>
      <c r="C21" s="38"/>
      <c r="D21" s="38"/>
      <c r="E21" s="38"/>
      <c r="F21" s="38"/>
      <c r="G21" s="38"/>
      <c r="H21" s="38"/>
      <c r="I21" s="38"/>
      <c r="J21" s="38"/>
      <c r="K21" s="38"/>
      <c r="L21" s="38"/>
      <c r="M21" s="38"/>
      <c r="N21" s="38"/>
    </row>
    <row r="22" spans="1:14">
      <c r="A22" s="38"/>
      <c r="B22" s="38"/>
      <c r="C22" s="38"/>
      <c r="D22" s="38"/>
      <c r="E22" s="38"/>
      <c r="F22" s="38"/>
      <c r="G22" s="38"/>
      <c r="H22" s="38"/>
      <c r="I22" s="38"/>
      <c r="J22" s="38"/>
      <c r="K22" s="38"/>
      <c r="L22" s="38"/>
      <c r="M22" s="38"/>
      <c r="N22" s="38"/>
    </row>
    <row r="23" spans="1:14">
      <c r="A23" s="38"/>
      <c r="B23" s="38"/>
      <c r="C23" s="38"/>
      <c r="D23" s="38"/>
      <c r="E23" s="38"/>
      <c r="F23" s="38"/>
      <c r="G23" s="38"/>
      <c r="H23" s="38"/>
      <c r="I23" s="38"/>
      <c r="J23" s="38"/>
      <c r="K23" s="38"/>
      <c r="L23" s="38"/>
      <c r="M23" s="38"/>
      <c r="N23" s="38"/>
    </row>
    <row r="24" spans="1:14">
      <c r="A24" s="38"/>
      <c r="B24" s="38"/>
      <c r="C24" s="38"/>
      <c r="D24" s="38"/>
      <c r="E24" s="38"/>
      <c r="F24" s="38"/>
      <c r="G24" s="38"/>
      <c r="H24" s="38"/>
      <c r="I24" s="38"/>
      <c r="J24" s="38"/>
      <c r="K24" s="38"/>
      <c r="L24" s="38"/>
      <c r="M24" s="38"/>
      <c r="N24" s="38"/>
    </row>
    <row r="25" spans="1:14">
      <c r="A25" s="38"/>
      <c r="B25" s="38"/>
      <c r="C25" s="38"/>
      <c r="D25" s="38"/>
      <c r="E25" s="38"/>
      <c r="F25" s="38"/>
      <c r="G25" s="38"/>
      <c r="H25" s="38"/>
      <c r="I25" s="38"/>
      <c r="J25" s="38"/>
      <c r="K25" s="38"/>
      <c r="L25" s="38"/>
      <c r="M25" s="38"/>
      <c r="N25" s="38"/>
    </row>
    <row r="26" spans="1:14">
      <c r="A26" s="38"/>
      <c r="B26" s="38"/>
      <c r="C26" s="38"/>
      <c r="D26" s="38"/>
      <c r="E26" s="38"/>
      <c r="F26" s="38"/>
      <c r="G26" s="38"/>
      <c r="H26" s="38"/>
      <c r="I26" s="38"/>
      <c r="J26" s="38"/>
      <c r="K26" s="38"/>
      <c r="L26" s="38"/>
      <c r="M26" s="38"/>
      <c r="N26" s="38"/>
    </row>
    <row r="27" spans="1:14">
      <c r="A27" s="67" t="s">
        <v>673</v>
      </c>
      <c r="B27" s="67"/>
      <c r="C27" s="67"/>
      <c r="D27" s="67"/>
      <c r="E27" s="67"/>
      <c r="F27" s="67"/>
      <c r="G27" s="67"/>
      <c r="H27" s="67"/>
      <c r="I27" s="67"/>
      <c r="J27" s="67"/>
      <c r="K27" s="67"/>
      <c r="L27" s="67"/>
      <c r="M27" s="67"/>
      <c r="N27" s="67"/>
    </row>
    <row r="28" spans="1:14">
      <c r="A28" s="38" t="s">
        <v>677</v>
      </c>
      <c r="B28" s="38"/>
      <c r="C28" s="38"/>
      <c r="D28" s="38"/>
      <c r="E28" s="38"/>
      <c r="F28" s="38"/>
      <c r="G28" s="38"/>
      <c r="H28" s="38"/>
      <c r="I28" s="38"/>
      <c r="J28" s="38"/>
      <c r="K28" s="38"/>
      <c r="L28" s="38"/>
      <c r="M28" s="38"/>
      <c r="N28" s="38"/>
    </row>
    <row r="29" spans="1:14">
      <c r="A29" s="38" t="s">
        <v>678</v>
      </c>
      <c r="B29" s="38"/>
      <c r="C29" s="38"/>
      <c r="D29" s="38"/>
      <c r="E29" s="38"/>
      <c r="F29" s="38"/>
      <c r="G29" s="38"/>
      <c r="H29" s="38"/>
      <c r="I29" s="38"/>
      <c r="J29" s="38"/>
      <c r="K29" s="38"/>
      <c r="L29" s="38"/>
      <c r="M29" s="38"/>
      <c r="N29" s="38"/>
    </row>
    <row r="30" spans="1:14">
      <c r="A30" s="38" t="s">
        <v>680</v>
      </c>
      <c r="B30" s="38"/>
      <c r="C30" s="38"/>
      <c r="D30" s="38"/>
      <c r="E30" s="38"/>
      <c r="F30" s="38"/>
      <c r="G30" s="38"/>
      <c r="H30" s="38"/>
      <c r="I30" s="38"/>
      <c r="J30" s="38"/>
      <c r="K30" s="38"/>
      <c r="L30" s="38"/>
      <c r="M30" s="38"/>
      <c r="N30" s="38"/>
    </row>
    <row r="31" spans="1:14">
      <c r="A31" s="38" t="s">
        <v>679</v>
      </c>
      <c r="B31" s="38"/>
      <c r="C31" s="38"/>
      <c r="D31" s="38"/>
      <c r="E31" s="38"/>
      <c r="F31" s="38"/>
      <c r="G31" s="38"/>
      <c r="H31" s="38"/>
      <c r="I31" s="38"/>
      <c r="J31" s="38"/>
      <c r="K31" s="38"/>
      <c r="L31" s="38"/>
      <c r="M31" s="38"/>
      <c r="N31" s="38"/>
    </row>
  </sheetData>
  <mergeCells count="15">
    <mergeCell ref="A8:G8"/>
    <mergeCell ref="H8:N8"/>
    <mergeCell ref="A17:G17"/>
    <mergeCell ref="H17:N17"/>
    <mergeCell ref="A27:N27"/>
    <mergeCell ref="A7:C7"/>
    <mergeCell ref="D7:F7"/>
    <mergeCell ref="G7:I7"/>
    <mergeCell ref="J7:L7"/>
    <mergeCell ref="A1:N1"/>
    <mergeCell ref="A2:N2"/>
    <mergeCell ref="A4:C6"/>
    <mergeCell ref="D4:F6"/>
    <mergeCell ref="G4:I6"/>
    <mergeCell ref="J4:L6"/>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1D18-B097-48F6-AA9E-09F398BF9A73}">
  <dimension ref="A1:E34"/>
  <sheetViews>
    <sheetView workbookViewId="0"/>
  </sheetViews>
  <sheetFormatPr defaultRowHeight="15"/>
  <cols>
    <col min="1" max="1" width="27.7109375" bestFit="1" customWidth="1"/>
    <col min="2" max="2" width="40.28515625" bestFit="1" customWidth="1"/>
    <col min="3" max="3" width="32.85546875" bestFit="1" customWidth="1"/>
    <col min="4" max="4" width="49.7109375" bestFit="1" customWidth="1"/>
    <col min="5" max="5" width="52.140625" bestFit="1" customWidth="1"/>
  </cols>
  <sheetData>
    <row r="1" spans="1:5">
      <c r="A1" s="157" t="s">
        <v>776</v>
      </c>
      <c r="B1" s="157" t="s">
        <v>777</v>
      </c>
      <c r="C1" s="157" t="s">
        <v>778</v>
      </c>
      <c r="D1" s="157" t="s">
        <v>779</v>
      </c>
      <c r="E1" s="157" t="s">
        <v>780</v>
      </c>
    </row>
    <row r="2" spans="1:5">
      <c r="A2" s="4" t="s">
        <v>781</v>
      </c>
      <c r="B2" s="4" t="s">
        <v>782</v>
      </c>
      <c r="C2" s="4" t="s">
        <v>783</v>
      </c>
      <c r="D2" s="4" t="s">
        <v>784</v>
      </c>
      <c r="E2" s="4" t="s">
        <v>785</v>
      </c>
    </row>
    <row r="3" spans="1:5">
      <c r="A3" s="4" t="s">
        <v>786</v>
      </c>
      <c r="B3" s="4" t="s">
        <v>787</v>
      </c>
      <c r="C3" s="4" t="s">
        <v>788</v>
      </c>
      <c r="D3" s="4" t="s">
        <v>789</v>
      </c>
      <c r="E3" s="4" t="s">
        <v>790</v>
      </c>
    </row>
    <row r="4" spans="1:5">
      <c r="A4" s="4" t="s">
        <v>791</v>
      </c>
      <c r="B4" s="4" t="s">
        <v>792</v>
      </c>
      <c r="C4" s="4" t="s">
        <v>793</v>
      </c>
      <c r="D4" s="4" t="s">
        <v>794</v>
      </c>
      <c r="E4" s="4" t="s">
        <v>795</v>
      </c>
    </row>
    <row r="5" spans="1:5">
      <c r="A5" s="4" t="s">
        <v>796</v>
      </c>
      <c r="B5" s="4" t="s">
        <v>797</v>
      </c>
      <c r="C5" s="4" t="s">
        <v>798</v>
      </c>
      <c r="D5" s="4" t="s">
        <v>794</v>
      </c>
      <c r="E5" s="4" t="s">
        <v>795</v>
      </c>
    </row>
    <row r="6" spans="1:5">
      <c r="A6" s="4" t="s">
        <v>799</v>
      </c>
      <c r="B6" s="4" t="s">
        <v>800</v>
      </c>
      <c r="C6" s="4" t="s">
        <v>801</v>
      </c>
      <c r="D6" s="4" t="s">
        <v>794</v>
      </c>
      <c r="E6" s="4" t="s">
        <v>795</v>
      </c>
    </row>
    <row r="7" spans="1:5">
      <c r="A7" s="4" t="s">
        <v>802</v>
      </c>
      <c r="B7" s="4" t="s">
        <v>803</v>
      </c>
      <c r="C7" s="4" t="s">
        <v>804</v>
      </c>
      <c r="D7" s="4" t="s">
        <v>794</v>
      </c>
      <c r="E7" s="4" t="s">
        <v>795</v>
      </c>
    </row>
    <row r="8" spans="1:5">
      <c r="A8" s="4" t="s">
        <v>805</v>
      </c>
      <c r="B8" s="4" t="s">
        <v>806</v>
      </c>
      <c r="C8" s="4" t="s">
        <v>807</v>
      </c>
      <c r="D8" s="4" t="s">
        <v>808</v>
      </c>
      <c r="E8" s="4" t="s">
        <v>809</v>
      </c>
    </row>
    <row r="9" spans="1:5">
      <c r="A9" s="4" t="s">
        <v>810</v>
      </c>
      <c r="B9" s="4" t="s">
        <v>811</v>
      </c>
      <c r="C9" s="4" t="s">
        <v>812</v>
      </c>
      <c r="D9" s="4" t="s">
        <v>813</v>
      </c>
      <c r="E9" s="4" t="s">
        <v>814</v>
      </c>
    </row>
    <row r="10" spans="1:5">
      <c r="A10" s="4" t="s">
        <v>815</v>
      </c>
      <c r="B10" s="4" t="s">
        <v>816</v>
      </c>
      <c r="C10" s="4" t="s">
        <v>817</v>
      </c>
      <c r="D10" s="4" t="s">
        <v>818</v>
      </c>
      <c r="E10" s="4" t="s">
        <v>819</v>
      </c>
    </row>
    <row r="11" spans="1:5">
      <c r="A11" s="4" t="s">
        <v>820</v>
      </c>
      <c r="B11" s="4" t="s">
        <v>821</v>
      </c>
      <c r="C11" s="4" t="s">
        <v>822</v>
      </c>
      <c r="D11" s="4" t="s">
        <v>823</v>
      </c>
      <c r="E11" s="4" t="s">
        <v>824</v>
      </c>
    </row>
    <row r="12" spans="1:5">
      <c r="A12" s="4" t="s">
        <v>825</v>
      </c>
      <c r="B12" s="4" t="s">
        <v>826</v>
      </c>
      <c r="C12" s="4" t="s">
        <v>827</v>
      </c>
      <c r="D12" s="4" t="s">
        <v>828</v>
      </c>
      <c r="E12" s="4" t="s">
        <v>829</v>
      </c>
    </row>
    <row r="13" spans="1:5">
      <c r="A13" s="4" t="s">
        <v>830</v>
      </c>
      <c r="B13" s="4" t="s">
        <v>831</v>
      </c>
      <c r="C13" s="4" t="s">
        <v>832</v>
      </c>
      <c r="D13" s="4" t="s">
        <v>833</v>
      </c>
      <c r="E13" s="4" t="s">
        <v>834</v>
      </c>
    </row>
    <row r="14" spans="1:5">
      <c r="A14" s="4" t="s">
        <v>835</v>
      </c>
      <c r="B14" s="4" t="s">
        <v>836</v>
      </c>
      <c r="C14" s="4" t="s">
        <v>837</v>
      </c>
      <c r="D14" s="4" t="s">
        <v>833</v>
      </c>
      <c r="E14" s="4" t="s">
        <v>838</v>
      </c>
    </row>
    <row r="15" spans="1:5">
      <c r="A15" s="4" t="s">
        <v>839</v>
      </c>
      <c r="B15" s="4" t="s">
        <v>840</v>
      </c>
      <c r="C15" s="4" t="s">
        <v>841</v>
      </c>
      <c r="D15" s="4" t="s">
        <v>842</v>
      </c>
      <c r="E15" s="4" t="s">
        <v>843</v>
      </c>
    </row>
    <row r="16" spans="1:5">
      <c r="A16" s="4" t="s">
        <v>844</v>
      </c>
      <c r="B16" s="4" t="s">
        <v>845</v>
      </c>
      <c r="C16" s="4" t="s">
        <v>846</v>
      </c>
      <c r="D16" s="4" t="s">
        <v>847</v>
      </c>
      <c r="E16" s="4" t="s">
        <v>848</v>
      </c>
    </row>
    <row r="17" spans="1:5">
      <c r="A17" s="4" t="s">
        <v>849</v>
      </c>
      <c r="B17" s="4" t="s">
        <v>850</v>
      </c>
      <c r="C17" s="4" t="s">
        <v>817</v>
      </c>
      <c r="D17" s="4" t="s">
        <v>851</v>
      </c>
      <c r="E17" s="4" t="s">
        <v>852</v>
      </c>
    </row>
    <row r="18" spans="1:5">
      <c r="A18" s="4" t="s">
        <v>853</v>
      </c>
      <c r="B18" s="4" t="s">
        <v>854</v>
      </c>
      <c r="C18" s="4" t="s">
        <v>855</v>
      </c>
      <c r="D18" s="4" t="s">
        <v>856</v>
      </c>
      <c r="E18" s="4" t="s">
        <v>857</v>
      </c>
    </row>
    <row r="19" spans="1:5">
      <c r="A19" s="4" t="s">
        <v>858</v>
      </c>
      <c r="B19" s="4" t="s">
        <v>859</v>
      </c>
      <c r="C19" s="4" t="s">
        <v>860</v>
      </c>
      <c r="D19" s="4" t="s">
        <v>784</v>
      </c>
      <c r="E19" s="4" t="s">
        <v>861</v>
      </c>
    </row>
    <row r="21" spans="1:5">
      <c r="A21" s="159" t="s">
        <v>862</v>
      </c>
    </row>
    <row r="22" spans="1:5" ht="61.5" customHeight="1">
      <c r="A22" s="158" t="s">
        <v>863</v>
      </c>
      <c r="B22" s="158"/>
      <c r="C22" s="158"/>
      <c r="D22" s="158"/>
    </row>
    <row r="24" spans="1:5">
      <c r="A24" s="156" t="s">
        <v>864</v>
      </c>
      <c r="B24" s="156" t="s">
        <v>777</v>
      </c>
    </row>
    <row r="25" spans="1:5">
      <c r="A25" s="153" t="s">
        <v>818</v>
      </c>
      <c r="B25" s="4" t="s">
        <v>211</v>
      </c>
    </row>
    <row r="26" spans="1:5">
      <c r="A26" s="154" t="s">
        <v>865</v>
      </c>
      <c r="B26" s="4" t="s">
        <v>525</v>
      </c>
    </row>
    <row r="27" spans="1:5">
      <c r="A27" s="153" t="s">
        <v>866</v>
      </c>
      <c r="B27" s="155" t="s">
        <v>867</v>
      </c>
    </row>
    <row r="28" spans="1:5">
      <c r="A28" s="153" t="s">
        <v>868</v>
      </c>
      <c r="B28" s="4" t="s">
        <v>869</v>
      </c>
    </row>
    <row r="29" spans="1:5">
      <c r="A29" s="153" t="s">
        <v>870</v>
      </c>
      <c r="B29" s="4" t="s">
        <v>871</v>
      </c>
    </row>
    <row r="30" spans="1:5">
      <c r="A30" s="153" t="s">
        <v>872</v>
      </c>
      <c r="B30" s="4" t="s">
        <v>873</v>
      </c>
    </row>
    <row r="31" spans="1:5">
      <c r="A31" s="153" t="s">
        <v>874</v>
      </c>
      <c r="B31" s="4" t="s">
        <v>875</v>
      </c>
    </row>
    <row r="32" spans="1:5">
      <c r="A32" s="153" t="s">
        <v>876</v>
      </c>
      <c r="B32" s="4" t="s">
        <v>877</v>
      </c>
    </row>
    <row r="33" spans="1:2">
      <c r="A33" s="153" t="s">
        <v>878</v>
      </c>
      <c r="B33" s="4" t="s">
        <v>879</v>
      </c>
    </row>
    <row r="34" spans="1:2">
      <c r="A34" s="153" t="s">
        <v>880</v>
      </c>
      <c r="B34" s="4" t="s">
        <v>881</v>
      </c>
    </row>
  </sheetData>
  <mergeCells count="1">
    <mergeCell ref="A22:D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01_README</vt:lpstr>
      <vt:lpstr>02_Control_Panel</vt:lpstr>
      <vt:lpstr>03_Cities</vt:lpstr>
      <vt:lpstr>04_Sales_Team</vt:lpstr>
      <vt:lpstr>05_Distributors</vt:lpstr>
      <vt:lpstr>06_Products</vt:lpstr>
      <vt:lpstr>07_Calendar</vt:lpstr>
      <vt:lpstr>08_Sales_Targets</vt:lpstr>
      <vt:lpstr>09_Sales_Transactions</vt:lpstr>
      <vt:lpstr>10_Inventory</vt:lpstr>
      <vt:lpstr>11_Collections</vt:lpstr>
      <vt:lpstr>12_Performance_Calculations</vt:lpstr>
      <vt:lpstr>13_Target_vs_Actual</vt:lpstr>
      <vt:lpstr>14_Distributor_Analysis</vt:lpstr>
      <vt:lpstr>15_Product_Analysis</vt:lpstr>
      <vt:lpstr>16_Sales_Forecast</vt:lpstr>
      <vt:lpstr>17_Management_Dashboard</vt:lpstr>
      <vt:lpstr>18_Model_Documentation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Waqas Naseem</dc:creator>
  <cp:lastModifiedBy>Waqas Naseem</cp:lastModifiedBy>
  <dcterms:created xsi:type="dcterms:W3CDTF">2026-09-09T23:13:43Z</dcterms:created>
  <dcterms:modified xsi:type="dcterms:W3CDTF">2026-09-13T01:14:28Z</dcterms:modified>
</cp:coreProperties>
</file>